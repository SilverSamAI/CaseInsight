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100 Targets" sheetId="1" state="visible" r:id="rId3"/>
    <sheet name="Scoring Rubric" sheetId="2" state="visible" r:id="rId4"/>
    <sheet name="Apollo Filter Sets" sheetId="3" state="visible" r:id="rId5"/>
    <sheet name="HubSpot Import Map" sheetId="4" state="visible" r:id="rId6"/>
    <sheet name="Suppression List" sheetId="5" state="visible" r:id="rId7"/>
    <sheet name="90 Day Launch Plan" sheetId="6" state="visible" r:id="rId8"/>
    <sheet name="Method and Caveats" sheetId="7" state="visible" r:id="rId9"/>
  </sheets>
  <definedNames>
    <definedName function="false" hidden="true" localSheetId="0" name="_xlnm._FilterDatabase" vbProcedure="false">'Top 100 Targets'!$A$4:$AG$104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<sst xmlns="http://schemas.openxmlformats.org/spreadsheetml/2006/main" count="2272" uniqueCount="1434">
  <si>
    <t xml:space="preserve">SILVERSIDE AI  |  TOP 100 COLD OUTBOUND TARGETS</t>
  </si>
  <si>
    <t xml:space="preserve">Ranked by ICP FIT score. Firmographics are estimates unless marked [FACT]. No account is asserted to have a specific problem. AI /8 is set to 5 and Tech /5 is set to 2 on every row as UNVERIFIED DEFAULTS, so every FIT score here is a floor. Enrichment typically adds 5 to 11 points. Edit any score cell and FIT SCORE and TIER recalculate. See Scoring Rubric tab.</t>
  </si>
  <si>
    <t xml:space="preserve">Rank</t>
  </si>
  <si>
    <t xml:space="preserve">Company</t>
  </si>
  <si>
    <t xml:space="preserve">Vertical</t>
  </si>
  <si>
    <t xml:space="preserve">Segment</t>
  </si>
  <si>
    <t xml:space="preserve">Est. Revenue Band</t>
  </si>
  <si>
    <t xml:space="preserve">HQ</t>
  </si>
  <si>
    <t xml:space="preserve">Ownership</t>
  </si>
  <si>
    <t xml:space="preserve">Primary Multiplier [FACT]</t>
  </si>
  <si>
    <t xml:space="preserve">Fit Rationale [INFERENCE]</t>
  </si>
  <si>
    <t xml:space="preserve">Primary Use Case</t>
  </si>
  <si>
    <t xml:space="preserve">Est. First Deal</t>
  </si>
  <si>
    <t xml:space="preserve">Target Titles</t>
  </si>
  <si>
    <t xml:space="preserve">Trigger Hypothesis [VERIFY]</t>
  </si>
  <si>
    <t xml:space="preserve">Verification Required Before Send</t>
  </si>
  <si>
    <t xml:space="preserve">Reference to Cite</t>
  </si>
  <si>
    <t xml:space="preserve">Ind /12</t>
  </si>
  <si>
    <t xml:space="preserve">Rev /10</t>
  </si>
  <si>
    <t xml:space="preserve">Emp /4</t>
  </si>
  <si>
    <t xml:space="preserve">Spend /8</t>
  </si>
  <si>
    <t xml:space="preserve">Vol /10</t>
  </si>
  <si>
    <t xml:space="preserve">Vid /6</t>
  </si>
  <si>
    <t xml:space="preserve">Brands /8</t>
  </si>
  <si>
    <t xml:space="preserve">Mkts /7</t>
  </si>
  <si>
    <t xml:space="preserve">Locs /5</t>
  </si>
  <si>
    <t xml:space="preserve">SKU /6</t>
  </si>
  <si>
    <t xml:space="preserve">Media /6</t>
  </si>
  <si>
    <t xml:space="preserve">AI /8</t>
  </si>
  <si>
    <t xml:space="preserve">Tech /5</t>
  </si>
  <si>
    <t xml:space="preserve">Proc /5</t>
  </si>
  <si>
    <t xml:space="preserve">FIT SCORE</t>
  </si>
  <si>
    <t xml:space="preserve">TIER</t>
  </si>
  <si>
    <t xml:space="preserve">Wave</t>
  </si>
  <si>
    <t xml:space="preserve">Notes / Conflict Check</t>
  </si>
  <si>
    <t xml:space="preserve">Deckers Brands</t>
  </si>
  <si>
    <t xml:space="preserve">Fashion and footwear</t>
  </si>
  <si>
    <t xml:space="preserve">S2, S7</t>
  </si>
  <si>
    <t xml:space="preserve">$1B to $5B</t>
  </si>
  <si>
    <t xml:space="preserve">CA, US</t>
  </si>
  <si>
    <t xml:space="preserve">Public</t>
  </si>
  <si>
    <t xml:space="preserve">HOKA, UGG, Teva, AHNU, Koolaburra. Global footprint across 50+ markets. High colourway and size variation</t>
  </si>
  <si>
    <t xml:space="preserve">Five brands with very different audiences plus genuinely global market coverage plus footwear colourway variation is a three dimensional multiplier. HOKA growth rate specifically has outpaced content infrastructure. Wholesale plus DTC plus marketplace each need different asset specifications</t>
  </si>
  <si>
    <t xml:space="preserve">Colourway and variant imagery plus localization</t>
  </si>
  <si>
    <t xml:space="preserve">$150K to $350K</t>
  </si>
  <si>
    <t xml:space="preserve">VP E-commerce; Head of Creative Operations; VP Global Brand Marketing</t>
  </si>
  <si>
    <t xml:space="preserve">HOKA growth investment; marketing or creative leadership change; international expansion; open content ops roles</t>
  </si>
  <si>
    <t xml:space="preserve">Market and language count. Whether brands share creative resources. Colourway count per style. Creative ops structure</t>
  </si>
  <si>
    <t xml:space="preserve">PacSun, Marc Jacobs, BMW</t>
  </si>
  <si>
    <t xml:space="preserve">Strongest fashion target on the list. Multi brand plus global plus growth</t>
  </si>
  <si>
    <t xml:space="preserve">e.l.f. Beauty</t>
  </si>
  <si>
    <t xml:space="preserve">Beauty and personal care</t>
  </si>
  <si>
    <t xml:space="preserve">S2, S7, S10</t>
  </si>
  <si>
    <t xml:space="preserve">e.l.f., Naturium, Well People, Keys Soulcare, Rhode. Extremely high social cadence and trend response requirement</t>
  </si>
  <si>
    <t xml:space="preserve">Highest social and trend response cadence in mass beauty. Shade and format variation across five brands. Rhode acquisition adds a fifth brand system. Growth rate has consistently outpaced infrastructure. This is a speed to trend problem more than a cost problem</t>
  </si>
  <si>
    <t xml:space="preserve">Social and trend response content volume plus shade variant imagery</t>
  </si>
  <si>
    <t xml:space="preserve">Head of Content; VP Brand Marketing; Head of Creative Operations</t>
  </si>
  <si>
    <t xml:space="preserve">Rhode integration; marketing leadership change; international expansion; capacity hiring</t>
  </si>
  <si>
    <t xml:space="preserve">Social posting cadence versus in house team size. Shade count per franchise. Whether brands share creative. Trend response time</t>
  </si>
  <si>
    <t xml:space="preserve">Sephora and LVMH, Quay, Marc Jacobs</t>
  </si>
  <si>
    <t xml:space="preserve">Trend response speed is the angle, not cost. Highest beauty fit on the list</t>
  </si>
  <si>
    <t xml:space="preserve">Carter's</t>
  </si>
  <si>
    <t xml:space="preserve">Fashion and apparel</t>
  </si>
  <si>
    <t xml:space="preserve">GA, US</t>
  </si>
  <si>
    <t xml:space="preserve">Carter's, OshKosh B'gosh, Skip Hop, Little Planet. 1,000+ stores. Extremely high SKU count with size and print variation</t>
  </si>
  <si>
    <t xml:space="preserve">Childrenswear carries the highest size variation in apparel, multiplied by print and colourway. Four brands plus wholesale plus DTC plus international. Turnaround context creates a cost mandate. Store count adds local assets</t>
  </si>
  <si>
    <t xml:space="preserve">Size and print variant imagery plus PDP content at catalogue scale</t>
  </si>
  <si>
    <t xml:space="preserve">$125K to $300K</t>
  </si>
  <si>
    <t xml:space="preserve">VP E-commerce; Head of Creative Operations; VP Brand Marketing</t>
  </si>
  <si>
    <t xml:space="preserve">Turnaround or cost programme; marketing leadership change; store rationalization</t>
  </si>
  <si>
    <t xml:space="preserve">SKU and size variant count. Cost programme targets from investor materials. Whether brands share creative</t>
  </si>
  <si>
    <t xml:space="preserve">PacSun, Williams Sonoma</t>
  </si>
  <si>
    <t xml:space="preserve">Childrenswear size variation is the largest in apparel. Use the math</t>
  </si>
  <si>
    <t xml:space="preserve">Choice Hotels International</t>
  </si>
  <si>
    <t xml:space="preserve">Hospitality and franchise</t>
  </si>
  <si>
    <t xml:space="preserve">S2, S8</t>
  </si>
  <si>
    <t xml:space="preserve">MD, US</t>
  </si>
  <si>
    <t xml:space="preserve">22 brands, 7,500+ hotels across 45+ countries, almost entirely franchised</t>
  </si>
  <si>
    <t xml:space="preserve">Twenty two brands times 7,500 properties times 45 countries is the single largest multiplication figure on this list. Franchised model means property level asset demand is permanently unmet. Property level and brand level and market level content all compound. IHG engagement is directly relevant precedent</t>
  </si>
  <si>
    <t xml:space="preserve">Property and brand level localization portal</t>
  </si>
  <si>
    <t xml:space="preserve">$200K to $500K</t>
  </si>
  <si>
    <t xml:space="preserve">VP Brand Marketing per brand; VP Franchise Marketing; Head of Creative Operations</t>
  </si>
  <si>
    <t xml:space="preserve">Marketing leadership change; brand portfolio additions; franchisee technology investment; international expansion</t>
  </si>
  <si>
    <t xml:space="preserve">Whether creative is shared across 22 brands. Franchisee asset request process. Ad fund structure. Country count</t>
  </si>
  <si>
    <t xml:space="preserve">IHG style hospitality precedent, Sam's Club, BMW</t>
  </si>
  <si>
    <t xml:space="preserve">CONFLICT CHECK: competes with IHG. Clear with Sam. Highest multiplier on the list</t>
  </si>
  <si>
    <t xml:space="preserve">Wyndham Hotels &amp; Resorts</t>
  </si>
  <si>
    <t xml:space="preserve">NJ, US</t>
  </si>
  <si>
    <t xml:space="preserve">24 brands, 9,200+ hotels across 95+ countries, almost entirely franchised</t>
  </si>
  <si>
    <t xml:space="preserve">Twenty four brands and 95 countries is comparable to Choice with even broader geographic spread. Economy and midscale franchise model means property owners have minimal marketing support and high unmet asset demand. Localization requirement is extreme</t>
  </si>
  <si>
    <t xml:space="preserve">VP Brand Marketing; VP Franchise Marketing; Head of Creative Operations</t>
  </si>
  <si>
    <t xml:space="preserve">Marketing leadership change; brand additions; franchisee technology investment; international expansion</t>
  </si>
  <si>
    <t xml:space="preserve">Whether creative is shared across 24 brands. Franchisee asset process. Ad fund structure. Country and language count</t>
  </si>
  <si>
    <t xml:space="preserve">CONFLICT CHECK: competes with IHG. Clear with Sam</t>
  </si>
  <si>
    <t xml:space="preserve">Guess?, Inc.</t>
  </si>
  <si>
    <t xml:space="preserve">S2</t>
  </si>
  <si>
    <t xml:space="preserve">Global apparel and accessories across 100+ countries. Licensed product categories. Heavy campaign imagery tradition</t>
  </si>
  <si>
    <t xml:space="preserve">100+ country footprint is the strongest localization multiplier in fashion on this list. Licensed category extensions add brand governance complexity. Brand is campaign imagery driven, meaning high production volume and cost per campaign</t>
  </si>
  <si>
    <t xml:space="preserve">Localization plus campaign asset variation</t>
  </si>
  <si>
    <t xml:space="preserve">VP Global Marketing; Head of Creative Operations; VP E-commerce</t>
  </si>
  <si>
    <t xml:space="preserve">Ownership or strategic review activity; marketing leadership change; market expansion</t>
  </si>
  <si>
    <t xml:space="preserve">Country and language count. Licensed category count. Campaign production volume and cost. Creative ops structure</t>
  </si>
  <si>
    <t xml:space="preserve">Marc Jacobs, PacSun, BMW</t>
  </si>
  <si>
    <t xml:space="preserve">100+ markets is the headline. Lead with localization economics</t>
  </si>
  <si>
    <t xml:space="preserve">Harley-Davidson</t>
  </si>
  <si>
    <t xml:space="preserve">Automotive and powersports</t>
  </si>
  <si>
    <t xml:space="preserve">$5B to $10B</t>
  </si>
  <si>
    <t xml:space="preserve">WI, US</t>
  </si>
  <si>
    <t xml:space="preserve">Motorcycles plus apparel plus parts and accessories. 1,300+ dealers globally. Model, trim and colour variation. Very high P&amp;A SKU count</t>
  </si>
  <si>
    <t xml:space="preserve">Dealer network creates a localization requirement mirroring franchise. Parts and accessories catalogue is very high SKU with minimal content investment. Model times trim times colour variation. Turnaround context creates a cost mandate. Apparel line is a separate content system</t>
  </si>
  <si>
    <t xml:space="preserve">Dealer localization plus P&amp;A catalogue content</t>
  </si>
  <si>
    <t xml:space="preserve">$150K to $400K</t>
  </si>
  <si>
    <t xml:space="preserve">VP Marketing; Head of Creative Operations; VP Dealer Marketing</t>
  </si>
  <si>
    <t xml:space="preserve">Turnaround or cost programme; marketing leadership change; dealer network investment; product launches</t>
  </si>
  <si>
    <t xml:space="preserve">Dealer count and whether dealers receive asset support. P&amp;A SKU count. Cost programme targets</t>
  </si>
  <si>
    <t xml:space="preserve">BMW, PacSun, Panasonic</t>
  </si>
  <si>
    <t xml:space="preserve">BMW reference is directly on point. Dealer localization is the wedge</t>
  </si>
  <si>
    <t xml:space="preserve">Sally Beauty Holdings</t>
  </si>
  <si>
    <t xml:space="preserve">Omnichannel retail</t>
  </si>
  <si>
    <t xml:space="preserve">S2, S4, S7</t>
  </si>
  <si>
    <t xml:space="preserve">TX, US</t>
  </si>
  <si>
    <t xml:space="preserve">Two banners, Sally Beauty and CosmoProf. 4,400+ stores across 12+ countries. Very high SKU count including owned brands</t>
  </si>
  <si>
    <t xml:space="preserve">Dual banner structure serving consumer and professional audiences with different creative requirements from the same product catalogue. 12+ country footprint at mid market revenue means localization economics are genuinely painful. Owned brand portfolio adds content need</t>
  </si>
  <si>
    <t xml:space="preserve">Localization plus PDP content at catalogue scale</t>
  </si>
  <si>
    <t xml:space="preserve">VP E-commerce; VP Brand Marketing; Head of Creative Operations</t>
  </si>
  <si>
    <t xml:space="preserve">Digital transformation programme; marketing leadership change; owned brand expansion</t>
  </si>
  <si>
    <t xml:space="preserve">Country and language count. Owned brand count. SKU content coverage. Whether the two banners share creative</t>
  </si>
  <si>
    <t xml:space="preserve">Sephora and LVMH, Sam's Club</t>
  </si>
  <si>
    <t xml:space="preserve">12+ markets at mid market budget is the wedge</t>
  </si>
  <si>
    <t xml:space="preserve">Victoria's Secret &amp; Co.</t>
  </si>
  <si>
    <t xml:space="preserve">OH, US</t>
  </si>
  <si>
    <t xml:space="preserve">Multi brand: Victoria's Secret, PINK, Adore Me. 1,300+ stores. Heavy seasonal and collection cadence</t>
  </si>
  <si>
    <t xml:space="preserve">Three distinct brand systems with different audiences under one operating structure. Turnaround and repositioning context creates a cost and speed mandate. Apparel and intimates category is colourway and size variant heavy</t>
  </si>
  <si>
    <t xml:space="preserve">Portfolio governance plus colourway and collection asset systems</t>
  </si>
  <si>
    <t xml:space="preserve">VP Creative Operations; VP Brand Marketing; VP E-commerce</t>
  </si>
  <si>
    <t xml:space="preserve">Turnaround programme; marketing or creative leadership change; brand repositioning; cost mandate</t>
  </si>
  <si>
    <t xml:space="preserve">Whether the three brands share creative resources. Cost programme targets from investor materials. Creative ops leadership</t>
  </si>
  <si>
    <t xml:space="preserve">Marc Jacobs, PacSun, Sephora and LVMH</t>
  </si>
  <si>
    <t xml:space="preserve">Turnaround plus multi brand is a strong stack. Verify both</t>
  </si>
  <si>
    <t xml:space="preserve">Coty Inc. Consumer Beauty</t>
  </si>
  <si>
    <t xml:space="preserve">NY, US</t>
  </si>
  <si>
    <t xml:space="preserve">40+ owned and licensed fragrance and cosmetic brands including CoverGirl, Rimmel, Max Factor, Sally Hansen plus licensed designer fragrances</t>
  </si>
  <si>
    <t xml:space="preserve">One of the highest licensed brand counts in beauty, each requiring dual brand approval. Shade and format combinatorics across colour cosmetics. Genuinely global footprint. Cost and deleveraging context creates a mandate. The tail brands in this portfolio receive minimal creative investment</t>
  </si>
  <si>
    <t xml:space="preserve">Licensed brand governance plus shade and variant imagery</t>
  </si>
  <si>
    <t xml:space="preserve">$200K to $450K</t>
  </si>
  <si>
    <t xml:space="preserve">Head of Creative Operations; VP Global Brand; VP Digital</t>
  </si>
  <si>
    <t xml:space="preserve">Deleveraging or cost programme; marketing leadership change; portfolio review or divestiture</t>
  </si>
  <si>
    <t xml:space="preserve">Brand count owned versus licensed. Cost programme targets from investor materials. Whether Consumer Beauty and Prestige share creative resources</t>
  </si>
  <si>
    <t xml:space="preserve">Sephora and LVMH, Marc Jacobs</t>
  </si>
  <si>
    <t xml:space="preserve">Cost mandate plus licensed brand governance. Very strong stack</t>
  </si>
  <si>
    <t xml:space="preserve">Crocs, Inc.</t>
  </si>
  <si>
    <t xml:space="preserve">CO, US</t>
  </si>
  <si>
    <t xml:space="preserve">Crocs and HEYDUDE. Extreme colourway and collaboration volume. Jibbitz accessory system. 80+ markets</t>
  </si>
  <si>
    <t xml:space="preserve">Colourway and collaboration volume is among the highest in footwear, and the Jibbitz personalization system multiplies imagery requirements further. 80+ market footprint adds localization. HEYDUDE integration adds a second brand system with different creative needs</t>
  </si>
  <si>
    <t xml:space="preserve">Colourway and collaboration imagery at volume plus localization</t>
  </si>
  <si>
    <t xml:space="preserve">VP E-commerce; Head of Creative Operations; VP Global Marketing</t>
  </si>
  <si>
    <t xml:space="preserve">HEYDUDE turnaround; marketing leadership change; collaboration cadence increase; cost programme</t>
  </si>
  <si>
    <t xml:space="preserve">Colourway and SKU count. Collaboration cadence. Market count. Whether HEYDUDE shares creative resources</t>
  </si>
  <si>
    <t xml:space="preserve">PacSun, Marc Jacobs, Quay</t>
  </si>
  <si>
    <t xml:space="preserve">Colourway plus collab volume is exceptional. Lead with the arithmetic</t>
  </si>
  <si>
    <t xml:space="preserve">Hyatt Hotels</t>
  </si>
  <si>
    <t xml:space="preserve">Hospitality</t>
  </si>
  <si>
    <t xml:space="preserve">IL, US</t>
  </si>
  <si>
    <t xml:space="preserve">30+ brands, 1,400+ properties across 75+ countries. Mixed managed, franchised and owned</t>
  </si>
  <si>
    <t xml:space="preserve">Thirty plus brands after multiple acquisitions means brand systems are inconsistent and a governance layer has clear value. Property level plus brand level plus market level content multiplication. Luxury tier brands have high production standards, which is a governance opportunity</t>
  </si>
  <si>
    <t xml:space="preserve">Portfolio governance plus property and market localization</t>
  </si>
  <si>
    <t xml:space="preserve">VP Global Brand Marketing; Head of Creative Operations; VP Digital</t>
  </si>
  <si>
    <t xml:space="preserve">Brand acquisition integration; marketing leadership change; international expansion; cost programme</t>
  </si>
  <si>
    <t xml:space="preserve">Brand count and whether creative is shared. Property level asset process. Country and language count</t>
  </si>
  <si>
    <t xml:space="preserve">IHG style hospitality precedent, BMW, Marc Jacobs</t>
  </si>
  <si>
    <t xml:space="preserve">Inter Parfums</t>
  </si>
  <si>
    <t xml:space="preserve">15+ licensed fragrance brands including Jimmy Choo, Coach, Montblanc, Kate Spade, Guess, Ferragamo, plus owned brands</t>
  </si>
  <si>
    <t xml:space="preserve">Business model is entirely licensed brand fragrance, meaning every single asset requires approval against a licensor brand system. That is a governance problem in its purest form and no template tool addresses it. Global distribution adds localization</t>
  </si>
  <si>
    <t xml:space="preserve">Licensed brand asset governance plus localization</t>
  </si>
  <si>
    <t xml:space="preserve">$100K to $275K</t>
  </si>
  <si>
    <t xml:space="preserve">Head of Creative; VP Global Marketing; VP Digital</t>
  </si>
  <si>
    <t xml:space="preserve">New licence additions; marketing leadership change; market expansion</t>
  </si>
  <si>
    <t xml:space="preserve">Licensed brand count. Whether licensor approval is a known bottleneck. Market and language count. Creative team size</t>
  </si>
  <si>
    <t xml:space="preserve">Marc Jacobs, Sephora and LVMH</t>
  </si>
  <si>
    <t xml:space="preserve">Pure licensed brand model. The governance pitch writes itself</t>
  </si>
  <si>
    <t xml:space="preserve">Steve Madden</t>
  </si>
  <si>
    <t xml:space="preserve">Steve Madden, Dolce Vita, Betsey Johnson, Greats, Anne Klein, plus licensed brands. Wholesale plus DTC plus marketplace</t>
  </si>
  <si>
    <t xml:space="preserve">High brand count including licensed brands, each requiring assets that satisfy two brand systems. Footwear and accessories colourway variation across three channels with different specifications. Wholesale partners each demand their own asset packages</t>
  </si>
  <si>
    <t xml:space="preserve">Colourway and variant imagery plus channel asset packages</t>
  </si>
  <si>
    <t xml:space="preserve">VP E-commerce; Head of Creative; VP Marketing</t>
  </si>
  <si>
    <t xml:space="preserve">Marketing leadership change; brand acquisition activity; international expansion</t>
  </si>
  <si>
    <t xml:space="preserve">Brand count including licensed. Colourway count per style. Whether brands share creative. Channel asset requirements</t>
  </si>
  <si>
    <t xml:space="preserve">Dine Brands Global</t>
  </si>
  <si>
    <t xml:space="preserve">QSR and franchise</t>
  </si>
  <si>
    <t xml:space="preserve">S8</t>
  </si>
  <si>
    <t xml:space="preserve">$500M to $1B</t>
  </si>
  <si>
    <t xml:space="preserve">Applebee's, IHOP, Fuzzy's Taco Shop. 3,500+ locations, almost entirely franchised. International presence</t>
  </si>
  <si>
    <t xml:space="preserve">Near total franchise model means corporate has minimal control over local execution and franchisees have unmet asset demand by design. Three brands with heavy menu and LTO cadence. International franchise adds localization. Cost pressure is public</t>
  </si>
  <si>
    <t xml:space="preserve">Franchise localization portal plus LTO asset systems</t>
  </si>
  <si>
    <t xml:space="preserve">CMO per brand; VP Field Marketing; VP Franchise Marketing</t>
  </si>
  <si>
    <t xml:space="preserve">Cost or turnaround programme; marketing leadership change; franchisee technology investment; international expansion</t>
  </si>
  <si>
    <t xml:space="preserve">Ad fund structure and franchisee committee governance. Existing portal. Whether brands share creative. International market count</t>
  </si>
  <si>
    <t xml:space="preserve">Sam's Club, Coca-Cola</t>
  </si>
  <si>
    <t xml:space="preserve">Near total franchise model. Ad fund governance is the path to understand</t>
  </si>
  <si>
    <t xml:space="preserve">Oddity Tech</t>
  </si>
  <si>
    <t xml:space="preserve">S3, S10</t>
  </si>
  <si>
    <t xml:space="preserve">NY and Israel</t>
  </si>
  <si>
    <t xml:space="preserve">IL MAKIAGE and SpoiledChild. Technology led DTC beauty with extremely high performance creative volume</t>
  </si>
  <si>
    <t xml:space="preserve">Business model is performance marketing led, meaning creative volume is the primary growth constraint and the company already measures it precisely. Sophisticated buyer with real AI capability internally, so the conversation is technical rather than educational. High shade and variant count</t>
  </si>
  <si>
    <t xml:space="preserve">Performance creative and variant testing at volume</t>
  </si>
  <si>
    <t xml:space="preserve">$100K to $250K</t>
  </si>
  <si>
    <t xml:space="preserve">VP Growth; Head of Performance Marketing; Head of Creative</t>
  </si>
  <si>
    <t xml:space="preserve">Brand launch activity; growth investment; creative capacity hiring</t>
  </si>
  <si>
    <t xml:space="preserve">Active Meta creative count. Whether creative is produced in house. Internal AI capability, which may make them a build not buy buyer</t>
  </si>
  <si>
    <t xml:space="preserve">Quay, SimpliSafe, CyberArk</t>
  </si>
  <si>
    <t xml:space="preserve">Sophisticated buyer. Send technical depth, not a deck. Build risk is real</t>
  </si>
  <si>
    <t xml:space="preserve">Bath &amp; Body Works</t>
  </si>
  <si>
    <t xml:space="preserve">S2, S4</t>
  </si>
  <si>
    <t xml:space="preserve">1,800+ stores, very high SKU count with continuous fragrance and seasonal collection turnover</t>
  </si>
  <si>
    <t xml:space="preserve">Seasonal and fragrance collection cadence is faster than almost any retailer on this list, meaning full asset regeneration multiple times per year. High SKU count with constant new introductions. Store count creates regional and promotional asset needs</t>
  </si>
  <si>
    <t xml:space="preserve">Seasonal collection asset systems plus PDP content</t>
  </si>
  <si>
    <t xml:space="preserve">VP Creative Operations; VP E-commerce; VP Brand Marketing</t>
  </si>
  <si>
    <t xml:space="preserve">Marketing or creative leadership change; international expansion; open content ops roles</t>
  </si>
  <si>
    <t xml:space="preserve">Collection cadence and asset volume per launch. SKU count. Creative ops structure and headcount</t>
  </si>
  <si>
    <t xml:space="preserve">Sephora and LVMH, Williams Sonoma</t>
  </si>
  <si>
    <t xml:space="preserve">Collection turnover cadence is the strongest angle</t>
  </si>
  <si>
    <t xml:space="preserve">Church &amp; Dwight</t>
  </si>
  <si>
    <t xml:space="preserve">CPG multi brand</t>
  </si>
  <si>
    <t xml:space="preserve">15+ consumer brands across household and personal care. Multi retailer: mass, club, grocery, Amazon</t>
  </si>
  <si>
    <t xml:space="preserve">Classic long tail portfolio. Top brands hold agency relationships, the remaining 10+ are structurally underserved. Retailer specific asset variation across four channels plus international divisions</t>
  </si>
  <si>
    <t xml:space="preserve">Long tail brand content programme</t>
  </si>
  <si>
    <t xml:space="preserve">VP Brand Marketing; Head of Creative Operations; VP Shopper Marketing</t>
  </si>
  <si>
    <t xml:space="preserve">Marketing leadership change in trailing 9 months; open AI or content ops roles; advertising expense trend in latest 10-K</t>
  </si>
  <si>
    <t xml:space="preserve">Confirm brand count from current investor deck. Pull advertising expense from EDGAR. Count active Meta creatives. Identify named creative ops leader</t>
  </si>
  <si>
    <t xml:space="preserve">Coca-Cola, Svedka</t>
  </si>
  <si>
    <t xml:space="preserve">Clorox</t>
  </si>
  <si>
    <t xml:space="preserve">12+ brands including Clorox, Burt's Bees, Hidden Valley, Brita, Glad. International divisions</t>
  </si>
  <si>
    <t xml:space="preserve">Portfolio spans cleaning, personal care, food and lifestyle, meaning wildly different creative requirements per brand with a shared governance need. Burt's Bees alone is a high content velocity beauty brand inside a household parent</t>
  </si>
  <si>
    <t xml:space="preserve">Portfolio governance plus long tail brand content</t>
  </si>
  <si>
    <t xml:space="preserve">VP Brand Marketing; Head of Creative Operations; VP Digital Commerce</t>
  </si>
  <si>
    <t xml:space="preserve">Public efficiency or cost programme; marketing leadership change; open AI roles in marketing</t>
  </si>
  <si>
    <t xml:space="preserve">Brand count and segment structure from 10-K. Advertising expense. Whether Burt's Bees operates its own marketing team</t>
  </si>
  <si>
    <t xml:space="preserve">Coca-Cola, Sephora and LVMH</t>
  </si>
  <si>
    <t xml:space="preserve">E. &amp; J. Gallo Winery</t>
  </si>
  <si>
    <t xml:space="preserve">Family owned</t>
  </si>
  <si>
    <t xml:space="preserve">Largest wine portfolio in the US. 100+ brands and several hundred labels across price tiers</t>
  </si>
  <si>
    <t xml:space="preserve">Extreme label multiplication with almost no creative investment below the flagship tier. Family ownership means fewer procurement layers than a comparable public company. Label, varietal and vintage variation is a textbook generation problem</t>
  </si>
  <si>
    <t xml:space="preserve">Long tail label content plus packaging visualization</t>
  </si>
  <si>
    <t xml:space="preserve">VP Brand Marketing; Head of Creative; VP Digital</t>
  </si>
  <si>
    <t xml:space="preserve">New marketing leadership; DTC expansion; premiumization programme</t>
  </si>
  <si>
    <t xml:space="preserve">Brand and label count. Whether creative is centralized. Family ownership means the decision maker may be higher and faster than title suggests</t>
  </si>
  <si>
    <t xml:space="preserve">Svedka, Coca-Cola</t>
  </si>
  <si>
    <t xml:space="preserve">Family owned. Faster decisions if you reach the right person</t>
  </si>
  <si>
    <t xml:space="preserve">Edgewell Personal Care</t>
  </si>
  <si>
    <t xml:space="preserve">S3, S7</t>
  </si>
  <si>
    <t xml:space="preserve">CT, US</t>
  </si>
  <si>
    <t xml:space="preserve">Schick, Wilkinson Sword, Banana Boat, Hawaiian Tropic, Wet Ones, Playtex, Billie, Jack Black. 20+ markets</t>
  </si>
  <si>
    <t xml:space="preserve">Portfolio spans shave, sun, feminine care and grooming, each with distinct creative requirements and a shared governance need. Billie and Jack Black are DTC brands inside a traditional CPG parent, which usually means two incompatible content operating models</t>
  </si>
  <si>
    <t xml:space="preserve">VP Brand Marketing; Head of Creative Operations; VP Digital and DTC</t>
  </si>
  <si>
    <t xml:space="preserve">Marketing leadership change; DTC brand integration; cost programme</t>
  </si>
  <si>
    <t xml:space="preserve">Brand count. Whether Billie and Jack Black run separate marketing. Market count. Advertising expense</t>
  </si>
  <si>
    <t xml:space="preserve">Sephora and LVMH, Quay</t>
  </si>
  <si>
    <t xml:space="preserve">DTC brands inside a CPG parent is a strong governance angle</t>
  </si>
  <si>
    <t xml:space="preserve">GoTo Foods</t>
  </si>
  <si>
    <t xml:space="preserve">S8, S9</t>
  </si>
  <si>
    <t xml:space="preserve">PE backed</t>
  </si>
  <si>
    <t xml:space="preserve">Seven brands: Cinnabon, Auntie Anne's, Jamba, Moe's, Carvel, Schlotzsky's, McAlister's. 6,700+ locations, franchised</t>
  </si>
  <si>
    <t xml:space="preserve">Seven brands across snack, smoothie, and fast casual, all franchised, with a shared services structure that makes a single governance layer serving seven brands unusually attractive. Roark ownership creates a value creation mandate. Mall and non traditional locations add format variation</t>
  </si>
  <si>
    <t xml:space="preserve">Multi brand franchise localization portal</t>
  </si>
  <si>
    <t xml:space="preserve">$250K to $600K</t>
  </si>
  <si>
    <t xml:space="preserve">CMO; VP Brand Marketing per brand; VP Field Marketing</t>
  </si>
  <si>
    <t xml:space="preserve">PE value creation programme; marketing leadership change; franchisee technology investment; brand repositioning</t>
  </si>
  <si>
    <t xml:space="preserve">Whether creative is shared across the seven brands. Ad fund structure. Existing franchisee asset portal</t>
  </si>
  <si>
    <t xml:space="preserve">CONFLICT CHECK: Jamba competes with Smoothie King. Clear with Sam before outreach</t>
  </si>
  <si>
    <t xml:space="preserve">Kontoor Brands</t>
  </si>
  <si>
    <t xml:space="preserve">NC, US</t>
  </si>
  <si>
    <t xml:space="preserve">Wrangler, Lee, Helly Hansen. Global footprint across 65+ markets. Very high SKU count with fit, wash and size variation</t>
  </si>
  <si>
    <t xml:space="preserve">Denim fit, wash and size variation produces one of the highest imagery combinatorics in apparel. 65+ market footprint is a strong localization multiplier. Helly Hansen acquisition adds a technical outdoor brand with entirely different creative requirements</t>
  </si>
  <si>
    <t xml:space="preserve">Fit and wash variant imagery plus localization</t>
  </si>
  <si>
    <t xml:space="preserve">Helly Hansen integration; marketing leadership change; market expansion; cost programme</t>
  </si>
  <si>
    <t xml:space="preserve">Market and language count. SKU and wash count. Whether Helly Hansen creative is integrated. Creative ops structure</t>
  </si>
  <si>
    <t xml:space="preserve">Denim wash and fit combinatorics is very specific and credible</t>
  </si>
  <si>
    <t xml:space="preserve">Academy Sports and Outdoors</t>
  </si>
  <si>
    <t xml:space="preserve">280+ stores with expansion programme. 100,000+ SKUs. Growing owned brand portfolio. Emerging retail media</t>
  </si>
  <si>
    <t xml:space="preserve">High SKU count with a substantial owned brand portfolio that requires brand level rather than retailer level content. Store expansion into new regions adds local asset volume. Owned brands receive far less creative investment than national brands they sit beside</t>
  </si>
  <si>
    <t xml:space="preserve">Owned brand content plus PDP content at catalogue scale</t>
  </si>
  <si>
    <t xml:space="preserve">VP E-commerce; VP Marketing; Head of Creative Operations</t>
  </si>
  <si>
    <t xml:space="preserve">Store expansion programme; owned brand expansion; retail media launch; marketing leadership change</t>
  </si>
  <si>
    <t xml:space="preserve">Owned brand count. SKU content coverage. Whether retail media exists. Creative ops structure</t>
  </si>
  <si>
    <t xml:space="preserve">Sam's Club, Amazon</t>
  </si>
  <si>
    <t xml:space="preserve">Celsius Holdings</t>
  </si>
  <si>
    <t xml:space="preserve">FL, US</t>
  </si>
  <si>
    <t xml:space="preserve">High growth energy portfolio plus Alani Nu acquisition. Very high flavour SKU count and heavy creator marketing</t>
  </si>
  <si>
    <t xml:space="preserve">Growth rate has outpaced marketing infrastructure, which is the classic condition for a content supply constraint. Flavour variant volume plus creator content adaptation plus retail and club channel assets all compound. Alani Nu integration adds a second brand system</t>
  </si>
  <si>
    <t xml:space="preserve">Social and creator content volume plus flavour variant assets</t>
  </si>
  <si>
    <t xml:space="preserve">VP Brand Marketing; Head of Content; VP Digital</t>
  </si>
  <si>
    <t xml:space="preserve">Alani Nu integration; marketing leadership change; international expansion; capacity hiring</t>
  </si>
  <si>
    <t xml:space="preserve">Whether Alani Nu marketing is integrated. Meta creative count. Social cadence versus in house team size</t>
  </si>
  <si>
    <t xml:space="preserve">Quay, PacSun</t>
  </si>
  <si>
    <t xml:space="preserve">Growth outpacing infrastructure is the wedge</t>
  </si>
  <si>
    <t xml:space="preserve">Fossil Group</t>
  </si>
  <si>
    <t xml:space="preserve">Fashion and accessories</t>
  </si>
  <si>
    <t xml:space="preserve">Fossil, Skagen, Zodiac plus licensed watch brands including Michael Kors, Armani Exchange, Diesel, Emporio Armani</t>
  </si>
  <si>
    <t xml:space="preserve">Licensed watch brand portfolio requires assets approved by two brand systems for every SKU, which is a governance problem no template tool addresses. Watch SKU variation across case, dial and strap is combinatorial. Turnaround context creates a cost mandate</t>
  </si>
  <si>
    <t xml:space="preserve">Licensed brand asset governance plus SKU variant imagery</t>
  </si>
  <si>
    <t xml:space="preserve">Head of Creative Operations; VP E-commerce; VP Global Brand</t>
  </si>
  <si>
    <t xml:space="preserve">Turnaround or cost programme; marketing leadership change; licensing portfolio change</t>
  </si>
  <si>
    <t xml:space="preserve">Licensed brand count. SKU and variant count. Whether licensor approval is a known bottleneck. Cost programme targets</t>
  </si>
  <si>
    <t xml:space="preserve">Marc Jacobs, Quay, Panasonic</t>
  </si>
  <si>
    <t xml:space="preserve">Licensor dual approval is a distinctive and underpitched wedge</t>
  </si>
  <si>
    <t xml:space="preserve">McCormick &amp; Company</t>
  </si>
  <si>
    <t xml:space="preserve">Spice, seasoning and condiment portfolio including Frank's RedHot, French's, Cholula, Old Bay. Global footprint</t>
  </si>
  <si>
    <t xml:space="preserve">Recipe and usage occasion content is a permanent, unbounded need in this category and is exactly the workstream agencies deprioritize. High SKU count with heavy retailer and shopper requirements. Global footprint adds language and taste localization</t>
  </si>
  <si>
    <t xml:space="preserve">Recipe and occasion content at volume plus retailer assets</t>
  </si>
  <si>
    <t xml:space="preserve">VP Brand Marketing; Head of Content; VP Digital Commerce</t>
  </si>
  <si>
    <t xml:space="preserve">Marketing leadership change; open content or AI roles; e-commerce growth targets</t>
  </si>
  <si>
    <t xml:space="preserve">SKU count. Whether recipe content is produced in house or by agency. Advertising expense</t>
  </si>
  <si>
    <t xml:space="preserve">Recipe content is the single clearest wedge here</t>
  </si>
  <si>
    <t xml:space="preserve">Bloomin' Brands</t>
  </si>
  <si>
    <t xml:space="preserve">Outback Steakhouse, Carrabba's, Bonefish Grill, Fleming's. 1,400+ locations plus international franchise</t>
  </si>
  <si>
    <t xml:space="preserve">Four brands with distinct positioning, mixed company and franchise operation, plus Brazilian and other international operations. Turnaround and strategic review context creates a strong cost mandate. Menu and LTO photography is expensive and recurring across four brands</t>
  </si>
  <si>
    <t xml:space="preserve">Multi brand menu and LTO asset systems</t>
  </si>
  <si>
    <t xml:space="preserve">CMO per brand; VP Marketing; Head of Creative</t>
  </si>
  <si>
    <t xml:space="preserve">Turnaround or strategic review; Brazil divestiture activity; marketing leadership change; cost programme</t>
  </si>
  <si>
    <t xml:space="preserve">Whether brands share creative. Food photography cost and cadence. International structure. Cost programme targets</t>
  </si>
  <si>
    <t xml:space="preserve">Sam's Club, Svedka</t>
  </si>
  <si>
    <t xml:space="preserve">Food photography cost across four brands is the clearest arithmetic</t>
  </si>
  <si>
    <t xml:space="preserve">GNC Holdings</t>
  </si>
  <si>
    <t xml:space="preserve">S3, S8</t>
  </si>
  <si>
    <t xml:space="preserve">PA, US</t>
  </si>
  <si>
    <t xml:space="preserve">2,000+ locations including franchised stores. Extensive owned brand portfolio. High SKU count with claim heavy category</t>
  </si>
  <si>
    <t xml:space="preserve">Franchise structure plus owned brand portfolio plus supplement category claim requirements creates three overlapping content problems. PE ownership creates a cost mandate. Franchisee local asset demand is permanently unmet in this model</t>
  </si>
  <si>
    <t xml:space="preserve">Franchise localization portal plus owned brand PDP content</t>
  </si>
  <si>
    <t xml:space="preserve">VP Marketing; VP Franchise Marketing; Head of Creative</t>
  </si>
  <si>
    <t xml:space="preserve">PE ownership cost programme; marketing leadership change; franchise expansion</t>
  </si>
  <si>
    <t xml:space="preserve">Franchise versus company operated split. Owned brand count. Ad fund structure. PE sponsor and hold period</t>
  </si>
  <si>
    <t xml:space="preserve">Sam's Club, SimpliSafe</t>
  </si>
  <si>
    <t xml:space="preserve">Franchise plus PE plus claim governance is a strong triple stack</t>
  </si>
  <si>
    <t xml:space="preserve">Helen of Troy</t>
  </si>
  <si>
    <t xml:space="preserve">10+ brands including OXO, Hydro Flask, Osprey, Drybar, Curlsmith plus licensed Braun, Vicks and Honeywell. Very high SKU count</t>
  </si>
  <si>
    <t xml:space="preserve">High brand count spanning housewares, beauty, outdoor and health, several of them licensed and requiring dual brand approval. Very high SKU count with colour and configuration variation. Public turnaround and cost mandate is explicit. The tail brands in this portfolio receive minimal creative investment</t>
  </si>
  <si>
    <t xml:space="preserve">Long tail brand content plus PDP and colourway variant imagery</t>
  </si>
  <si>
    <t xml:space="preserve">Head of Creative Operations; VP Brand Marketing; VP E-commerce</t>
  </si>
  <si>
    <t xml:space="preserve">Turnaround or cost reduction programme; marketing leadership change; brand divestiture activity</t>
  </si>
  <si>
    <t xml:space="preserve">Current brand count after divestitures. Licensed versus owned split. SKU and colourway count. Cost programme targets from investor materials</t>
  </si>
  <si>
    <t xml:space="preserve">Williams Sonoma, Quay, Panasonic</t>
  </si>
  <si>
    <t xml:space="preserve">Explicit public cost mandate plus licensed brand governance</t>
  </si>
  <si>
    <t xml:space="preserve">Inspire Brands</t>
  </si>
  <si>
    <t xml:space="preserve">Over $10B</t>
  </si>
  <si>
    <t xml:space="preserve">Six brands: Arby's, Dunkin', Sonic, Buffalo Wild Wings, Jimmy John's, Rusty Taco. 32,000+ locations, predominantly franchised</t>
  </si>
  <si>
    <t xml:space="preserve">The largest franchise multiplication problem on this list. Six brands times 32,000 locations times monthly LTO cadence times DMA level media. Roark ownership creates a value creation mandate. Franchisee local asset demand across this footprint is unmeetable by any conventional production model</t>
  </si>
  <si>
    <t xml:space="preserve">Franchise localization portal plus multi brand LTO asset systems</t>
  </si>
  <si>
    <t xml:space="preserve">$300K to $750K</t>
  </si>
  <si>
    <t xml:space="preserve">PE value creation programme; brand level marketing leadership changes; franchisee marketing technology investment</t>
  </si>
  <si>
    <t xml:space="preserve">Whether marketing is centralized or per brand. Ad fund structure per brand. Existing franchisee portal. Enter at brand level, not holdco</t>
  </si>
  <si>
    <t xml:space="preserve">Highest franchise ceiling on the list. Enter at one brand, expand across six</t>
  </si>
  <si>
    <t xml:space="preserve">Oxford Industries</t>
  </si>
  <si>
    <t xml:space="preserve">Tommy Bahama, Lilly Pulitzer, Johnny Was, Southern Tide, Duck Head. 200+ retail locations plus restaurants</t>
  </si>
  <si>
    <t xml:space="preserve">Five distinct lifestyle brands with strong and different visual identities, which is exactly the condition where a shared governance layer creates value without homogenizing. Lilly Pulitzer print based design creates unusual variant volume. Tommy Bahama restaurants add a separate content system</t>
  </si>
  <si>
    <t xml:space="preserve">Portfolio governance plus print and colourway variant imagery</t>
  </si>
  <si>
    <t xml:space="preserve">Head of Creative Operations; VP E-commerce; VP Brand Marketing</t>
  </si>
  <si>
    <t xml:space="preserve">Marketing or creative leadership change; brand acquisition; cost programme</t>
  </si>
  <si>
    <t xml:space="preserve">Whether brands share any creative resources. Print and colourway count for Lilly Pulitzer. Retail and restaurant location count</t>
  </si>
  <si>
    <t xml:space="preserve">Marc Jacobs, Williams Sonoma, PacSun</t>
  </si>
  <si>
    <t xml:space="preserve">Five strong distinct brands makes the governance case unusually clean</t>
  </si>
  <si>
    <t xml:space="preserve">Petco Health and Wellness</t>
  </si>
  <si>
    <t xml:space="preserve">S2, S4, S6</t>
  </si>
  <si>
    <t xml:space="preserve">1,500+ locations including in store services and vet clinics. High SKU count. Owned brand portfolio. Retail media network</t>
  </si>
  <si>
    <t xml:space="preserve">Retail plus services plus veterinary creates three content systems. Location count drives local asset needs. Owned brand portfolio and retail media network add two further demand streams. Turnaround context creates a cost mandate</t>
  </si>
  <si>
    <t xml:space="preserve">PDP content plus local and services asset systems</t>
  </si>
  <si>
    <t xml:space="preserve">VP E-commerce; VP Retail Media; Head of Creative Operations</t>
  </si>
  <si>
    <t xml:space="preserve">Turnaround or cost programme; marketing leadership change; retail media expansion</t>
  </si>
  <si>
    <t xml:space="preserve">Owned brand count. Retail media scale. Cost programme targets. Whether services marketing is separate</t>
  </si>
  <si>
    <t xml:space="preserve">The J.M. Smucker Company</t>
  </si>
  <si>
    <t xml:space="preserve">Portfolio including Folgers, Jif, Smucker's, Hostess, Cafe Bustelo. Recent large acquisition integration</t>
  </si>
  <si>
    <t xml:space="preserve">Post acquisition portfolios carry duplicated creative spend and inconsistent brand systems, which is the condition a governance layer resolves. Coffee and snacking categories are promotion heavy with constant retailer asset demand</t>
  </si>
  <si>
    <t xml:space="preserve">Portfolio governance plus retailer asset variation</t>
  </si>
  <si>
    <t xml:space="preserve">VP Brand Marketing; VP Integrated Marketing; Head of Creative Operations</t>
  </si>
  <si>
    <t xml:space="preserve">Acquisition integration; synergy or cost target disclosed to investors; marketing leadership change</t>
  </si>
  <si>
    <t xml:space="preserve">Whether Hostess marketing has been integrated. Synergy targets from investor materials. Advertising expense</t>
  </si>
  <si>
    <t xml:space="preserve">Coca-Cola</t>
  </si>
  <si>
    <t xml:space="preserve">Acquisition integration is the trigger to verify first</t>
  </si>
  <si>
    <t xml:space="preserve">Bausch + Lomb</t>
  </si>
  <si>
    <t xml:space="preserve">Consumer health and device</t>
  </si>
  <si>
    <t xml:space="preserve">NJ and Canada</t>
  </si>
  <si>
    <t xml:space="preserve">Contact lens, surgical and consumer eye health portfolio. 100+ markets. Regulated claims across all categories</t>
  </si>
  <si>
    <t xml:space="preserve">Three business segments with very different audiences: consumer, surgical and pharmaceutical, each with regulatory review requirements. 100+ market footprint is a major localization multiplier. Regulated claim governance is a paid feature here</t>
  </si>
  <si>
    <t xml:space="preserve">Localization plus regulated claim governance</t>
  </si>
  <si>
    <t xml:space="preserve">VP Global Marketing; Head of Creative Operations; VP Consumer Marketing</t>
  </si>
  <si>
    <t xml:space="preserve">Marketing leadership change; portfolio separation activity; cost programme; product launches</t>
  </si>
  <si>
    <t xml:space="preserve">Market and language count. Whether consumer marketing is separate from surgical. Regulatory review process and duration</t>
  </si>
  <si>
    <t xml:space="preserve">SimpliSafe, Panasonic</t>
  </si>
  <si>
    <t xml:space="preserve">Regulatory review adds 4 to 8 weeks. Price and forecast it in</t>
  </si>
  <si>
    <t xml:space="preserve">Boot Barn Holdings</t>
  </si>
  <si>
    <t xml:space="preserve">S3, S4</t>
  </si>
  <si>
    <t xml:space="preserve">450+ stores with strong expansion. Exclusive brand portfolio at 35%+ of sales. High SKU count with size and width variation</t>
  </si>
  <si>
    <t xml:space="preserve">Exclusive brand portfolio means Boot Barn must market owned brands like a CPG company while running a retailer content operation. Footwear size and width variation multiplies imagery requirements. Store expansion adds local assets</t>
  </si>
  <si>
    <t xml:space="preserve">Owned brand content plus PDP and variant imagery</t>
  </si>
  <si>
    <t xml:space="preserve">VP E-commerce; VP Marketing; Head of Creative</t>
  </si>
  <si>
    <t xml:space="preserve">Exclusive brand expansion; store growth programme; marketing leadership change</t>
  </si>
  <si>
    <t xml:space="preserve">Exclusive brand count. SKU and variant count. Content coverage. Creative team size</t>
  </si>
  <si>
    <t xml:space="preserve">Exclusive brand portfolio is the clearest wedge</t>
  </si>
  <si>
    <t xml:space="preserve">Kenvue</t>
  </si>
  <si>
    <t xml:space="preserve">Neutrogena, Aveeno, Listerine, Tylenol, Band-Aid, Zyrtec and 20+ more. Global footprint across 100+ markets</t>
  </si>
  <si>
    <t xml:space="preserve">Very high brand count spanning skin health, oral care and OTC, each with different regulatory requirements. 100+ market footprint. Recent spinoff means brand systems and creative operations are still being rebuilt independently, which is a genuine window. Claim governance is a paid feature in OTC</t>
  </si>
  <si>
    <t xml:space="preserve">Portfolio governance plus localization and compliance</t>
  </si>
  <si>
    <t xml:space="preserve">Post spinoff operating model build; cost programme; marketing leadership changes; activist pressure</t>
  </si>
  <si>
    <t xml:space="preserve">Brand count. Whether creative operations are centralized post spinoff. Cost programme targets. Which brands hold discretionary budget</t>
  </si>
  <si>
    <t xml:space="preserve">Sephora and LVMH, Panasonic</t>
  </si>
  <si>
    <t xml:space="preserve">Post spinoff rebuild is a real window. Enter at brand or region level</t>
  </si>
  <si>
    <t xml:space="preserve">Molson Coors</t>
  </si>
  <si>
    <t xml:space="preserve">Multi brand beer portfolio plus emerging beverage brands. US, Canada, UK and EMEA operations</t>
  </si>
  <si>
    <t xml:space="preserve">Beer portfolio has a small number of megabrands and a long tail of regional and craft labels with minimal creative support. Sports and seasonal calendar creates predictable volume spikes. Multi country footprint adds a language multiplier</t>
  </si>
  <si>
    <t xml:space="preserve">Long tail brand content plus seasonal campaign systems</t>
  </si>
  <si>
    <t xml:space="preserve">VP Brand Marketing; VP Digital; Head of Creative Operations</t>
  </si>
  <si>
    <t xml:space="preserve">Efficiency mandate on earnings calls; marketing leadership change; beyond beer portfolio expansion</t>
  </si>
  <si>
    <t xml:space="preserve">Brand count. Whether US and UK marketing operate separately. Advertising expense from 10-K</t>
  </si>
  <si>
    <t xml:space="preserve">Svedka, Coca-Cola, BMW</t>
  </si>
  <si>
    <t xml:space="preserve">UK entity may be a lighter procurement path than US</t>
  </si>
  <si>
    <t xml:space="preserve">Papa John's International</t>
  </si>
  <si>
    <t xml:space="preserve">5,900+ locations across 45+ countries, predominantly franchised. Heavy promotional and LTO cadence</t>
  </si>
  <si>
    <t xml:space="preserve">45+ country footprint plus 5,900 locations plus near constant promotional cadence is a three way multiplier. Turnaround context creates a cost mandate. International franchise localization is a genuine and expensive problem in this model</t>
  </si>
  <si>
    <t xml:space="preserve">Franchise localization portal plus international asset localization</t>
  </si>
  <si>
    <t xml:space="preserve">CMO; VP International Marketing; VP Field Marketing</t>
  </si>
  <si>
    <t xml:space="preserve">Turnaround or cost programme; marketing leadership change; international expansion; franchisee relations</t>
  </si>
  <si>
    <t xml:space="preserve">Ad fund structure domestically and internationally. Country and language count. Existing localization process</t>
  </si>
  <si>
    <t xml:space="preserve">45+ countries plus franchise is the strongest localization stack in QSR</t>
  </si>
  <si>
    <t xml:space="preserve">Beiersdorf North America</t>
  </si>
  <si>
    <t xml:space="preserve">Subsidiary</t>
  </si>
  <si>
    <t xml:space="preserve">Nivea, Coppertone, Eucerin, Aquaphor, La Prairie in the Americas. Regional P&amp;L within a global parent</t>
  </si>
  <si>
    <t xml:space="preserve">Americas division of a global parent is the best of both structures: global brand multiplier with a local buying centre and lighter procurement than global HQ. Sun care and derma categories are claim heavy. Multiple brands with different positioning under one regional team</t>
  </si>
  <si>
    <t xml:space="preserve">Regional asset localization plus portfolio governance</t>
  </si>
  <si>
    <t xml:space="preserve">VP Marketing Americas; Head of Creative; VP Digital</t>
  </si>
  <si>
    <t xml:space="preserve">Regional leadership change; brand relaunch activity; US market investment programme</t>
  </si>
  <si>
    <t xml:space="preserve">Regional P&amp;L autonomy and creative decision authority. Brand count in the Americas. Whether creative comes from Hamburg or is produced locally</t>
  </si>
  <si>
    <t xml:space="preserve">Sephora and LVMH, Panasonic, BMW</t>
  </si>
  <si>
    <t xml:space="preserve">Regional division entry. Confirm local budget authority first</t>
  </si>
  <si>
    <t xml:space="preserve">Chobani</t>
  </si>
  <si>
    <t xml:space="preserve">Private</t>
  </si>
  <si>
    <t xml:space="preserve">Yogurt, coffee, creamer and oat portfolio. High SKU and flavour count. Private, founder led</t>
  </si>
  <si>
    <t xml:space="preserve">Category expansion from yogurt into coffee, creamers and oat has multiplied SKU and creative requirements faster than a private company marketing team typically scales. Private ownership means fewer procurement layers and a faster decision if the right person is reached</t>
  </si>
  <si>
    <t xml:space="preserve">Flavour and SKU variant content plus social volume</t>
  </si>
  <si>
    <t xml:space="preserve">New category launch; marketing leadership change; capacity hiring; IPO preparation activity</t>
  </si>
  <si>
    <t xml:space="preserve">SKU count across categories. Marketing headcount. Whether creative is agency led. Private company financials require estimation</t>
  </si>
  <si>
    <t xml:space="preserve">Coca-Cola, Quay</t>
  </si>
  <si>
    <t xml:space="preserve">Private. Financials are estimates. Confirm before scoping</t>
  </si>
  <si>
    <t xml:space="preserve">Constellation Brands</t>
  </si>
  <si>
    <t xml:space="preserve">Beer, wine and spirits portfolio with 100+ brands and labels. Multi state regulatory variation</t>
  </si>
  <si>
    <t xml:space="preserve">Highest label and SKU count in beverage alcohol on this list. Wine portfolio in particular carries hundreds of labels that receive almost no creative investment. Alcohol marketing codes create a governance requirement that raw AI tools cannot satisfy</t>
  </si>
  <si>
    <t xml:space="preserve">Long tail brand and label content plus compliance governance</t>
  </si>
  <si>
    <t xml:space="preserve">Portfolio review or divestiture activity; marketing leadership change; DTC or e-commerce expansion</t>
  </si>
  <si>
    <t xml:space="preserve">Label count in the wine and spirits division. Advertising expense. Which division holds discretionary creative budget</t>
  </si>
  <si>
    <t xml:space="preserve">Alcohol compliance adds governance value. Price it in</t>
  </si>
  <si>
    <t xml:space="preserve">Dick's Sporting Goods</t>
  </si>
  <si>
    <t xml:space="preserve">850+ stores across multiple banners, 100,000+ SKUs, operates a retail media network, growing private label portfolio</t>
  </si>
  <si>
    <t xml:space="preserve">Multi banner structure plus vendor brand assets plus private label brands plus retail media advertiser creative creates four distinct content demand streams. House of Sport format expansion adds experiential asset needs</t>
  </si>
  <si>
    <t xml:space="preserve">Retail media creative services plus PDP content</t>
  </si>
  <si>
    <t xml:space="preserve">VP Retail Media; VP E-commerce; Head of Creative Operations</t>
  </si>
  <si>
    <t xml:space="preserve">Retail media expansion; House of Sport rollout; digital or marketing leadership change</t>
  </si>
  <si>
    <t xml:space="preserve">Retail media network scale and advertiser creative attach rate. Private label brand count. Banner count</t>
  </si>
  <si>
    <t xml:space="preserve">Sam's Club, Amazon, PacSun</t>
  </si>
  <si>
    <t xml:space="preserve">Note: sports league and athlete likeness content is off limits</t>
  </si>
  <si>
    <t xml:space="preserve">Energizer Holdings</t>
  </si>
  <si>
    <t xml:space="preserve">MO, US</t>
  </si>
  <si>
    <t xml:space="preserve">Energizer, Rayovac plus auto care brands Armor All, STP, A/C Pro. Global distribution in 50+ markets</t>
  </si>
  <si>
    <t xml:space="preserve">Two very different category groups under one parent with heavy SKU variation and genuinely global market coverage. Auto care in particular is a high SKU, low creative investment portfolio. 50+ market footprint is a strong localization multiplier at mid market budget</t>
  </si>
  <si>
    <t xml:space="preserve">Localization plus PDP and SKU content</t>
  </si>
  <si>
    <t xml:space="preserve">VP Brand Marketing; VP Global Marketing; Head of Creative Operations</t>
  </si>
  <si>
    <t xml:space="preserve">Marketing leadership change; cost or margin programme; international expansion</t>
  </si>
  <si>
    <t xml:space="preserve">Market and language count. Whether auto care marketing is separate from batteries. SKU count</t>
  </si>
  <si>
    <t xml:space="preserve">Panasonic, BMW</t>
  </si>
  <si>
    <t xml:space="preserve">50+ market footprint is the standout signal</t>
  </si>
  <si>
    <t xml:space="preserve">RH</t>
  </si>
  <si>
    <t xml:space="preserve">Luxury home furnishings with multiple collections and galleries. Very high production value imagery standard. International expansion underway</t>
  </si>
  <si>
    <t xml:space="preserve">Brand is built on photography quality, which is normally a reason to avoid AI content, but the volume requirement across sourcebooks, galleries and digital is enormous and the European expansion multiplies it. Lifestyle context generation is the wedge, not product replacement</t>
  </si>
  <si>
    <t xml:space="preserve">Lifestyle and contextual imagery at volume plus localization</t>
  </si>
  <si>
    <t xml:space="preserve">VP Creative; Head of Creative Operations; VP E-commerce</t>
  </si>
  <si>
    <t xml:space="preserve">European expansion; marketing or creative leadership change; cost programme</t>
  </si>
  <si>
    <t xml:space="preserve">European market count. Sourcebook production volume and cost. Whether creative is fully in house</t>
  </si>
  <si>
    <t xml:space="preserve">Williams Sonoma, Marc Jacobs, BMW</t>
  </si>
  <si>
    <t xml:space="preserve">Craft objection will be strong. Lead with lifestyle context only</t>
  </si>
  <si>
    <t xml:space="preserve">Shiseido Americas</t>
  </si>
  <si>
    <t xml:space="preserve">Shiseido, NARS, Drunk Elephant, Clé de Peau, Dior beauty licence in the Americas region</t>
  </si>
  <si>
    <t xml:space="preserve">Americas division with several brands at very different price tiers and audiences. NARS and Drunk Elephant have high social cadence requirements. Regional structure means a local buying centre. Turnaround context in the Americas creates a mandate</t>
  </si>
  <si>
    <t xml:space="preserve">Portfolio governance plus social and shade variant content</t>
  </si>
  <si>
    <t xml:space="preserve">VP Marketing Americas; Head of Creative; VP Digital and E-commerce</t>
  </si>
  <si>
    <t xml:space="preserve">Americas turnaround or restructuring; regional leadership change; brand investment shifts</t>
  </si>
  <si>
    <t xml:space="preserve">Regional creative decision authority. Brand count in the Americas. Whether brands share creative resources. Restructuring scope</t>
  </si>
  <si>
    <t xml:space="preserve">Sephora and LVMH, Marc Jacobs, Quay</t>
  </si>
  <si>
    <t xml:space="preserve">Americas turnaround is the trigger to verify</t>
  </si>
  <si>
    <t xml:space="preserve">Whirlpool Corporation</t>
  </si>
  <si>
    <t xml:space="preserve">Consumer electronics and appliances</t>
  </si>
  <si>
    <t xml:space="preserve">MI, US</t>
  </si>
  <si>
    <t xml:space="preserve">Whirlpool, KitchenAid, Maytag, JennAir, Amana, Consul, Brastemp. Very high SKU count. Global footprint</t>
  </si>
  <si>
    <t xml:space="preserve">High brand count times very high SKU count times finish and configuration variation times global markets. Appliance PDP content across finishes and configurations is a combinatorial imagery problem. Cost pressure is public and severe, which creates a genuine mandate</t>
  </si>
  <si>
    <t xml:space="preserve">PDP and configuration variant imagery plus localization</t>
  </si>
  <si>
    <t xml:space="preserve">Head of Creative Operations; VP Brand Marketing; VP Digital and E-commerce</t>
  </si>
  <si>
    <t xml:space="preserve">Cost reduction programme; marketing leadership change; portfolio or regional restructuring</t>
  </si>
  <si>
    <t xml:space="preserve">SKU and finish variant count. Brand count. Whether creative is centralized. Cost programme targets from investor materials</t>
  </si>
  <si>
    <t xml:space="preserve">Panasonic, BMW, Williams Sonoma</t>
  </si>
  <si>
    <t xml:space="preserve">Public cost mandate plus configuration combinatorics. Strong stack</t>
  </si>
  <si>
    <t xml:space="preserve">Wingstop</t>
  </si>
  <si>
    <t xml:space="preserve">2,500+ locations, 98% franchised, aggressive unit growth, international expansion, monthly promotional cadence</t>
  </si>
  <si>
    <t xml:space="preserve">Very high franchise percentage plus rapid unit growth plus international expansion. Marketing is sophisticated and digital led, meaning the buyer is receptive rather than needing education. Local and DMA asset demand grows with every new unit opened</t>
  </si>
  <si>
    <t xml:space="preserve">Franchise localization portal plus DMA asset systems</t>
  </si>
  <si>
    <t xml:space="preserve">CMO; VP Brand Marketing; VP Field Marketing</t>
  </si>
  <si>
    <t xml:space="preserve">Unit growth programme; international expansion; marketing leadership change; digital investment</t>
  </si>
  <si>
    <t xml:space="preserve">Ad fund structure. Existing franchisee asset process. International market count. Unit opening cadence</t>
  </si>
  <si>
    <t xml:space="preserve">Sophisticated digital led marketing team. Receptive buyer</t>
  </si>
  <si>
    <t xml:space="preserve">Driven Brands Holdings</t>
  </si>
  <si>
    <t xml:space="preserve">Multi unit franchise services</t>
  </si>
  <si>
    <t xml:space="preserve">Take 5, Meineke, CARSTAR, Maaco, 1-800-Radiator and more. 5,000+ locations across 15+ brands, predominantly franchised</t>
  </si>
  <si>
    <t xml:space="preserve">Fifteen or more brands times 5,000 locations, almost all franchised, is a franchise multiplication problem comparable to QSR but with almost no competition selling into it. Cost and portfolio rationalization programme creates a mandate. Local and DMA asset demand is structurally unmet</t>
  </si>
  <si>
    <t xml:space="preserve">CMO; VP Brand Marketing per platform; VP Franchise Marketing</t>
  </si>
  <si>
    <t xml:space="preserve">Portfolio rationalization or cost programme; marketing leadership change; franchisee technology investment</t>
  </si>
  <si>
    <t xml:space="preserve">Current brand count after divestitures. Whether marketing is shared across brands. Ad fund structure per brand</t>
  </si>
  <si>
    <t xml:space="preserve">Sam's Club, BMW</t>
  </si>
  <si>
    <t xml:space="preserve">Very high brand count. Almost nobody is selling AI content into auto services franchise</t>
  </si>
  <si>
    <t xml:space="preserve">Hain Celestial Group</t>
  </si>
  <si>
    <t xml:space="preserve">20+ natural and organic brands including Celestial Seasonings, Terra, Garden Veggie, Earth's Best. US, UK and Europe</t>
  </si>
  <si>
    <t xml:space="preserve">Very high brand count against modest revenue, which is the definition of a thin tail. Turnaround context creates a cost mandate. Multi country footprint adds localization need at mid market budget levels</t>
  </si>
  <si>
    <t xml:space="preserve">Long tail brand content plus portfolio governance</t>
  </si>
  <si>
    <t xml:space="preserve">VP Brand Marketing; Head of Creative Operations; VP Digital</t>
  </si>
  <si>
    <t xml:space="preserve">Turnaround or cost programme disclosed to investors; marketing leadership change; brand divestiture activity</t>
  </si>
  <si>
    <t xml:space="preserve">Current brand count after divestitures. Whether UK marketing is separate. Cost programme targets from investor materials</t>
  </si>
  <si>
    <t xml:space="preserve">Svedka, Goodwill</t>
  </si>
  <si>
    <t xml:space="preserve">Cost mandate is likely the strongest angle</t>
  </si>
  <si>
    <t xml:space="preserve">Tractor Supply Company</t>
  </si>
  <si>
    <t xml:space="preserve">TN, US</t>
  </si>
  <si>
    <t xml:space="preserve">2,300+ stores, 100,000+ SKUs, operates a retail media network, strong private label portfolio</t>
  </si>
  <si>
    <t xml:space="preserve">Very high SKU count with a large private label brand portfolio that must be marketed like owned brands. Store count creates a regional asset multiplier. Retail media network creates a second creative demand stream with its own funding</t>
  </si>
  <si>
    <t xml:space="preserve">PDP and SKU content at catalogue scale plus retail media creative</t>
  </si>
  <si>
    <t xml:space="preserve">Retail media expansion; digital leadership change; private label brand expansion</t>
  </si>
  <si>
    <t xml:space="preserve">Private label brand count. Retail media network scale. SKU count with content coverage gap. Creative ops leadership</t>
  </si>
  <si>
    <t xml:space="preserve">Sam's Club, Amazon, Williams Sonoma</t>
  </si>
  <si>
    <t xml:space="preserve">Private label portfolio is an underrated multiplier here</t>
  </si>
  <si>
    <t xml:space="preserve">Dexcom</t>
  </si>
  <si>
    <t xml:space="preserve">Continuous glucose monitoring. Direct to consumer advertising at scale plus HCP channel. 25+ markets</t>
  </si>
  <si>
    <t xml:space="preserve">Consumer medical device with real broadcast and digital advertising budget, meaning campaign asset volume is high. Dual audience of patient and healthcare professional doubles asset requirements. Patient education content is a large and recurring need. FDA promotional review makes governance valuable</t>
  </si>
  <si>
    <t xml:space="preserve">Patient education content at volume plus regulated campaign assets</t>
  </si>
  <si>
    <t xml:space="preserve">VP Global Marketing; VP Consumer Marketing; Head of Creative</t>
  </si>
  <si>
    <t xml:space="preserve">Product launch cycles; marketing leadership change; direct to consumer investment increase; market expansion</t>
  </si>
  <si>
    <t xml:space="preserve">Market count. Whether patient and HCP creative are separate. Promotional review process duration. Advertising expense</t>
  </si>
  <si>
    <t xml:space="preserve">SimpliSafe, ResMed style device precedent, Panasonic</t>
  </si>
  <si>
    <t xml:space="preserve">ResMed engagement is directly relevant precedent. Use it</t>
  </si>
  <si>
    <t xml:space="preserve">Hims &amp; Hers Health</t>
  </si>
  <si>
    <t xml:space="preserve">Consumer health and wellness</t>
  </si>
  <si>
    <t xml:space="preserve">S2, S10</t>
  </si>
  <si>
    <t xml:space="preserve">Telehealth and DTC pharmacy across multiple condition categories. Extremely high performance creative volume. Rapid category expansion</t>
  </si>
  <si>
    <t xml:space="preserve">Performance marketing led model where creative volume is the direct growth constraint and the company measures it precisely. Condition category expansion multiplies content requirements. Regulated health claims plus advertising substantiation make governance genuinely valuable rather than optional</t>
  </si>
  <si>
    <t xml:space="preserve">Performance creative at volume plus regulated claim governance</t>
  </si>
  <si>
    <t xml:space="preserve">VP Growth; VP Brand Marketing; Head of Creative</t>
  </si>
  <si>
    <t xml:space="preserve">Category expansion; marketing leadership change; international expansion; creative capacity hiring</t>
  </si>
  <si>
    <t xml:space="preserve">Active Meta creative count. Whether creative is produced in house. Category count. Internal AI capability</t>
  </si>
  <si>
    <t xml:space="preserve">Quay, SimpliSafe</t>
  </si>
  <si>
    <t xml:space="preserve">Highest performance creative volume in this segment. Bring numbers</t>
  </si>
  <si>
    <t xml:space="preserve">Jack in the Box Inc.</t>
  </si>
  <si>
    <t xml:space="preserve">Jack in the Box and Del Taco. 2,800+ locations, predominantly franchised. Regional concentration with expansion</t>
  </si>
  <si>
    <t xml:space="preserve">Two brands with heavy LTO cadence and regional price and promotion variation. High franchise percentage. Del Taco integration and potential divestiture activity creates change. Cost pressure is public and marketing efficiency is on the agenda</t>
  </si>
  <si>
    <t xml:space="preserve">LTO asset systems plus franchise and DMA localization</t>
  </si>
  <si>
    <t xml:space="preserve">CMO per brand; VP Field Marketing; Head of Creative</t>
  </si>
  <si>
    <t xml:space="preserve">Cost or strategic review programme; Del Taco divestiture activity; marketing leadership change</t>
  </si>
  <si>
    <t xml:space="preserve">Whether the two brands share creative resources. Ad fund structure. Del Taco strategic status. LTO cadence</t>
  </si>
  <si>
    <t xml:space="preserve">Panera Brands</t>
  </si>
  <si>
    <t xml:space="preserve">Panera Bread, Caribou Coffee, Einstein Bros Bagels. 4,000+ locations, mixed franchise and company operated</t>
  </si>
  <si>
    <t xml:space="preserve">Three brands with different day parts and audiences, mixed ownership model, and a large franchise base. JAB ownership plus long standing IPO preparation creates a cost and efficiency mandate. Menu and LTO cadence is high across all three brands</t>
  </si>
  <si>
    <t xml:space="preserve">Multi brand LTO asset systems plus franchise localization</t>
  </si>
  <si>
    <t xml:space="preserve">IPO preparation; PE cost programme; marketing leadership changes; menu innovation cadence</t>
  </si>
  <si>
    <t xml:space="preserve">Whether marketing is shared across brands. Franchise versus company split. Ad fund structure. IPO timeline</t>
  </si>
  <si>
    <t xml:space="preserve">IPO preparation is a strong cost mandate trigger. Verify status</t>
  </si>
  <si>
    <t xml:space="preserve">The Simply Good Foods Company</t>
  </si>
  <si>
    <t xml:space="preserve">Quest, Atkins and OWYN. High SKU count across bars, shakes, snacks and multiple flavour lines</t>
  </si>
  <si>
    <t xml:space="preserve">Flavour and format combinatorics across three brands produce heavy PDP and retailer asset volume. Quest specifically operates at high social cadence. Category is claim heavy, so governance has real value</t>
  </si>
  <si>
    <t xml:space="preserve">PDP and flavour variant content plus social volume</t>
  </si>
  <si>
    <t xml:space="preserve">VP Brand Marketing; VP Digital and E-commerce; Head of Creative</t>
  </si>
  <si>
    <t xml:space="preserve">New marketing leadership; SKU expansion; e-commerce growth targets</t>
  </si>
  <si>
    <t xml:space="preserve">SKU count across the three brands. Whether Quest and Atkins marketing teams are separate. Meta creative count</t>
  </si>
  <si>
    <t xml:space="preserve">Quay, Svedka</t>
  </si>
  <si>
    <t xml:space="preserve">The Vitamin Shoppe</t>
  </si>
  <si>
    <t xml:space="preserve">600+ locations plus e-commerce. Owned brand portfolio. Claim heavy supplement category with high SKU count</t>
  </si>
  <si>
    <t xml:space="preserve">Similar structural profile to GNC with PE ownership creating a cost mandate. Owned brands require CPG style content from a retailer marketing team. Supplement claim requirements make governance a paid feature rather than an obstacle</t>
  </si>
  <si>
    <t xml:space="preserve">Owned brand content plus compliance governance</t>
  </si>
  <si>
    <t xml:space="preserve">$75K to $200K</t>
  </si>
  <si>
    <t xml:space="preserve">VP Marketing; VP E-commerce; Head of Creative</t>
  </si>
  <si>
    <t xml:space="preserve">PE cost programme; marketing leadership change; owned brand expansion</t>
  </si>
  <si>
    <t xml:space="preserve">PE sponsor and hold period. Owned brand count. SKU count. Marketing team size</t>
  </si>
  <si>
    <t xml:space="preserve">SimpliSafe, Sam's Club</t>
  </si>
  <si>
    <t xml:space="preserve">Utz Brands</t>
  </si>
  <si>
    <t xml:space="preserve">15+ regional snack brands including Utz, Zapp's, On The Border, Boulder Canyon</t>
  </si>
  <si>
    <t xml:space="preserve">Regional brand structure creates a geographic plus brand multiplication problem at mid market scale, where budget is real but agency support is thin. Snack category is heavily promotional with constant retailer asset needs</t>
  </si>
  <si>
    <t xml:space="preserve">Long tail brand content plus regional asset variation</t>
  </si>
  <si>
    <t xml:space="preserve">VP Brand Marketing; Head of Creative; VP Shopper Marketing</t>
  </si>
  <si>
    <t xml:space="preserve">New marketing leadership; brand expansion into new geographies; margin improvement programme</t>
  </si>
  <si>
    <t xml:space="preserve">Brand count. Regional distribution footprint. Whether creative is agency led or in house</t>
  </si>
  <si>
    <t xml:space="preserve">Svedka, PacSun</t>
  </si>
  <si>
    <t xml:space="preserve">Vuori</t>
  </si>
  <si>
    <t xml:space="preserve">Growth backed</t>
  </si>
  <si>
    <t xml:space="preserve">High growth performance apparel. 100+ stores planned. International expansion. Colourway heavy assortment</t>
  </si>
  <si>
    <t xml:space="preserve">Growth rate has outpaced content infrastructure, which is the standard condition in a company at this stage. Store expansion plus international entry plus colourway variation compound simultaneously. Growth capital means budget exists and decisions are fast</t>
  </si>
  <si>
    <t xml:space="preserve">Colourway variant imagery plus social and campaign volume</t>
  </si>
  <si>
    <t xml:space="preserve">VP Brand Marketing; Head of Creative; VP E-commerce</t>
  </si>
  <si>
    <t xml:space="preserve">Store expansion; international market entry; marketing leadership hires; capital raise deployment</t>
  </si>
  <si>
    <t xml:space="preserve">Store count and expansion pace. Market count. Creative team size versus growth. Private company financials require estimation</t>
  </si>
  <si>
    <t xml:space="preserve">PacSun, Quay, Marc Jacobs</t>
  </si>
  <si>
    <t xml:space="preserve">Private. Growth backed. Fast decisions if you reach the CMO</t>
  </si>
  <si>
    <t xml:space="preserve">Dutch Bros</t>
  </si>
  <si>
    <t xml:space="preserve">AZ, US</t>
  </si>
  <si>
    <t xml:space="preserve">950+ locations with very aggressive unit growth. Heavy seasonal and LTO menu cadence. Strong social and community presence</t>
  </si>
  <si>
    <t xml:space="preserve">Fastest unit growth rate in this segment, and every new market entry creates a local asset requirement. Menu and seasonal LTO cadence is high. Brand is community and social led, requiring content volume well beyond what the team size supports</t>
  </si>
  <si>
    <t xml:space="preserve">Local market asset systems plus LTO and social content volume</t>
  </si>
  <si>
    <t xml:space="preserve">CMO; VP Brand Marketing; Head of Creative</t>
  </si>
  <si>
    <t xml:space="preserve">Unit growth and new market entry; marketing leadership change; capacity hiring</t>
  </si>
  <si>
    <t xml:space="preserve">New market entry cadence. Whether local assets are produced centrally. Marketing team size versus growth rate</t>
  </si>
  <si>
    <t xml:space="preserve">Sam's Club, Quay</t>
  </si>
  <si>
    <t xml:space="preserve">Unit growth rate is the trigger. Every new market needs assets</t>
  </si>
  <si>
    <t xml:space="preserve">Five Below</t>
  </si>
  <si>
    <t xml:space="preserve">1,800+ stores with aggressive expansion. Very high SKU turnover. Licensed and trend driven assortment</t>
  </si>
  <si>
    <t xml:space="preserve">Extremely high SKU turnover with trend driven and licensed product means content must be produced faster than any conventional pipeline allows. Rapid store expansion adds local asset volume. Youth audience requires high social cadence</t>
  </si>
  <si>
    <t xml:space="preserve">PDP and assortment content plus social volume</t>
  </si>
  <si>
    <t xml:space="preserve">Store expansion; e-commerce investment; marketing leadership change; margin programme</t>
  </si>
  <si>
    <t xml:space="preserve">SKU turnover rate. E-commerce content coverage. Social cadence versus team size</t>
  </si>
  <si>
    <t xml:space="preserve">Sam's Club, PacSun</t>
  </si>
  <si>
    <t xml:space="preserve">Movado Group</t>
  </si>
  <si>
    <t xml:space="preserve">Movado, Concord, Ebel plus licensed brands including Coach, Tommy Hilfiger, Hugo Boss, Lacoste, Calvin Klein</t>
  </si>
  <si>
    <t xml:space="preserve">Ten or more licensed brands each requiring dual brand approval on every asset, at a revenue scale where dedicated creative resource per brand is impossible. Watch SKU combinatorics across case, dial and strap. This is a licensed brand governance problem in concentrated form</t>
  </si>
  <si>
    <t xml:space="preserve">Head of Creative; VP E-commerce; VP Marketing</t>
  </si>
  <si>
    <t xml:space="preserve">Marketing leadership change; licensing portfolio change; e-commerce investment</t>
  </si>
  <si>
    <t xml:space="preserve">Licensed brand count. SKU count. Creative team size. Whether licensor approval is a bottleneck</t>
  </si>
  <si>
    <t xml:space="preserve">Marc Jacobs, Quay</t>
  </si>
  <si>
    <t xml:space="preserve">Highest licensed brand density per dollar of revenue on the list</t>
  </si>
  <si>
    <t xml:space="preserve">Post Holdings</t>
  </si>
  <si>
    <t xml:space="preserve">Cereal, pet food and foodservice portfolio with 20+ brands including Post, Honey Bunches of Oats, Rachael Ray Nutrish</t>
  </si>
  <si>
    <t xml:space="preserve">Acquisitive portfolio structure means brands arrive with inconsistent creative systems and no shared governance layer. Cereal category is packaging and promotion heavy with constant retailer asset demand</t>
  </si>
  <si>
    <t xml:space="preserve">VP Brand Marketing; VP Integrated Marketing; Head of Creative</t>
  </si>
  <si>
    <t xml:space="preserve">Recent acquisition integration; marketing leadership change; brand consolidation programme</t>
  </si>
  <si>
    <t xml:space="preserve">Brand count from 10-K. Whether marketing is centralized or per business unit. Advertising expense</t>
  </si>
  <si>
    <t xml:space="preserve">Sonos</t>
  </si>
  <si>
    <t xml:space="preserve">Consumer electronics</t>
  </si>
  <si>
    <t xml:space="preserve">Premium audio hardware across 60+ markets. Finish and configuration variation. Software plus hardware content requirement</t>
  </si>
  <si>
    <t xml:space="preserve">Product launch driven content cycles plus 60+ market localization plus finish variants plus app and software content. Turnaround context following software issues creates a cost and trust rebuilding mandate. Brand relies on high production value imagery</t>
  </si>
  <si>
    <t xml:space="preserve">PDP and lifestyle imagery plus localization</t>
  </si>
  <si>
    <t xml:space="preserve">Head of Creative; VP Brand Marketing; VP Global Marketing</t>
  </si>
  <si>
    <t xml:space="preserve">Turnaround or cost programme; marketing leadership change; product launch cycles</t>
  </si>
  <si>
    <t xml:space="preserve">Market and language count. SKU and finish count. Whether creative is in house. Cost programme targets</t>
  </si>
  <si>
    <t xml:space="preserve">Wayfair</t>
  </si>
  <si>
    <t xml:space="preserve">MA, US</t>
  </si>
  <si>
    <t xml:space="preserve">30M+ SKUs, multiple owned brands including Allmodern, Joss &amp; Main, Birch Lane, Perigold. Operates a retail media network</t>
  </si>
  <si>
    <t xml:space="preserve">The highest SKU count on this list by an order of magnitude. Furniture and home imagery is expensive to produce conventionally and highly amenable to generated lifestyle context. Multi banner owned brand structure adds a brand governance layer</t>
  </si>
  <si>
    <t xml:space="preserve">Synthetic product and lifestyle imagery at catalogue scale</t>
  </si>
  <si>
    <t xml:space="preserve">VP E-commerce Content; VP Brand; Head of Creative Operations</t>
  </si>
  <si>
    <t xml:space="preserve">Retail media expansion; profitability or cost programme; owned brand expansion</t>
  </si>
  <si>
    <t xml:space="preserve">Owned brand count. SKU content coverage. Whether lifestyle imagery is produced in house. Cost programme targets</t>
  </si>
  <si>
    <t xml:space="preserve">Williams Sonoma, Amazon</t>
  </si>
  <si>
    <t xml:space="preserve">Highest SKU multiplier available. Lifestyle imagery is the wedge</t>
  </si>
  <si>
    <t xml:space="preserve">Conagra Brands</t>
  </si>
  <si>
    <t xml:space="preserve">40+ brands including Birds Eye, Healthy Choice, Slim Jim, Duncan Hines. Very high SKU count</t>
  </si>
  <si>
    <t xml:space="preserve">Largest brand count on this list. Portfolio breadth means most brands receive minimal creative investment. Frozen and snacking categories carry heavy shopper and retailer asset requirements</t>
  </si>
  <si>
    <t xml:space="preserve">Long tail brand content plus retailer asset variation</t>
  </si>
  <si>
    <t xml:space="preserve">Cost or efficiency language on recent earnings calls; brand portfolio review; marketing leadership change</t>
  </si>
  <si>
    <t xml:space="preserve">Brand count from 10-K segments. Advertising expense from EDGAR. Enter at brand or division level, never at corporate</t>
  </si>
  <si>
    <t xml:space="preserve">Enter at division level. Corporate procurement will be heavy</t>
  </si>
  <si>
    <t xml:space="preserve">Rivian Automotive</t>
  </si>
  <si>
    <t xml:space="preserve">Automotive</t>
  </si>
  <si>
    <t xml:space="preserve">Electric vehicles with DTC model. Configuration and colour variation. Rapid product line expansion. Heavy brand content requirement</t>
  </si>
  <si>
    <t xml:space="preserve">DTC automotive model means the company owns the entire customer facing content requirement with no dealer network to share it. Configuration and colour combinatorics. R2 launch creates a concentrated content need. Cost pressure is severe and public</t>
  </si>
  <si>
    <t xml:space="preserve">Configuration and colour variant imagery plus launch content</t>
  </si>
  <si>
    <t xml:space="preserve">$125K to $350K</t>
  </si>
  <si>
    <t xml:space="preserve">R2 launch programme; cost reduction mandate; marketing leadership change</t>
  </si>
  <si>
    <t xml:space="preserve">Configuration and colour count. Whether creative is in house. Launch timeline. Cost programme targets</t>
  </si>
  <si>
    <t xml:space="preserve">BMW, Panasonic</t>
  </si>
  <si>
    <t xml:space="preserve">Cost mandate is severe. Frame everything in cost per asset</t>
  </si>
  <si>
    <t xml:space="preserve">Ulta Beauty</t>
  </si>
  <si>
    <t xml:space="preserve">1,400+ stores, 25,000+ SKUs across 600+ brands, operates a retail media network</t>
  </si>
  <si>
    <t xml:space="preserve">The strongest single retail profile on this list. Enormous SKU count, a retail media network monetizing brand partner advertising, weekly promotional cadence, and a beauty category where variant imagery volume is extreme. Vendor funded creative demand exceeds internal capacity by a wide margin</t>
  </si>
  <si>
    <t xml:space="preserve">Retail media creative services plus PDP content at catalogue scale</t>
  </si>
  <si>
    <t xml:space="preserve">Retail media network expansion; marketing or digital leadership change; open AI or content ops roles</t>
  </si>
  <si>
    <t xml:space="preserve">Retail media network scale and whether creative services are offered to advertisers. SKU count. Creative ops leadership on LinkedIn</t>
  </si>
  <si>
    <t xml:space="preserve">Sephora and LVMH, Sam's Club, Amazon</t>
  </si>
  <si>
    <t xml:space="preserve">Top target. Retail media is the entry point, not brand marketing</t>
  </si>
  <si>
    <t xml:space="preserve">Reynolds Consumer Products</t>
  </si>
  <si>
    <t xml:space="preserve">Reynolds Wrap, Hefty, Presto and store brand manufacturing. Very high SKU count across sizes and formats</t>
  </si>
  <si>
    <t xml:space="preserve">Extreme SKU count driven by size and format variation, with a category where PDP and packaging imagery is the primary content need. Store brand business adds a private label asset requirement most agencies will not touch</t>
  </si>
  <si>
    <t xml:space="preserve">PDP and SKU content at catalogue scale</t>
  </si>
  <si>
    <t xml:space="preserve">VP Brand Marketing; VP E-commerce; Head of Creative</t>
  </si>
  <si>
    <t xml:space="preserve">E-commerce growth targets; marketing leadership change; cost programme</t>
  </si>
  <si>
    <t xml:space="preserve">SKU count. Whether private label assets are produced internally. Amazon and retailer content compliance status</t>
  </si>
  <si>
    <t xml:space="preserve">Amazon, Sam's Club</t>
  </si>
  <si>
    <t xml:space="preserve">Solventum</t>
  </si>
  <si>
    <t xml:space="preserve">MN, US</t>
  </si>
  <si>
    <t xml:space="preserve">Medical, dental, health IT and purification portfolio spun from 3M. Very high SKU count across four segments</t>
  </si>
  <si>
    <t xml:space="preserve">Recent spinoff means brand systems, creative operations and vendor relationships are all being established independently, which is a genuine window that closes. Very high SKU count across four business segments. Regulated claims across most categories</t>
  </si>
  <si>
    <t xml:space="preserve">Portfolio governance plus PDP and technical product content</t>
  </si>
  <si>
    <t xml:space="preserve">Head of Creative Operations; VP Marketing per segment; VP Digital</t>
  </si>
  <si>
    <t xml:space="preserve">Post spinoff operating model build; cost programme; marketing leadership hires; brand system development</t>
  </si>
  <si>
    <t xml:space="preserve">Whether creative operations are centralized post spinoff. SKU count. Which segment holds discretionary budget. Spinoff timeline</t>
  </si>
  <si>
    <t xml:space="preserve">Panasonic, SimpliSafe, CyberArk</t>
  </si>
  <si>
    <t xml:space="preserve">Post spinoff brand system build is a closing window. Move now</t>
  </si>
  <si>
    <t xml:space="preserve">BellRing Brands</t>
  </si>
  <si>
    <t xml:space="preserve">S3</t>
  </si>
  <si>
    <t xml:space="preserve">Premier Protein and Dymatize. High velocity nutrition category with heavy flavour and format variation</t>
  </si>
  <si>
    <t xml:space="preserve">Small brand count but very high SKU and flavour variation, plus a category where social and creator content volume is the primary growth channel. Lean marketing organization relative to revenue means acute capacity constraint</t>
  </si>
  <si>
    <t xml:space="preserve">Social volume plus flavour variant content</t>
  </si>
  <si>
    <t xml:space="preserve">Marketing leadership change; capacity expansion; new format or category launch</t>
  </si>
  <si>
    <t xml:space="preserve">Marketing headcount on LinkedIn relative to revenue. Meta creative count. Social posting cadence</t>
  </si>
  <si>
    <t xml:space="preserve">Torrid Holdings</t>
  </si>
  <si>
    <t xml:space="preserve">600+ stores plus strong e-commerce. Apparel with extensive size range. Frequent collection drops</t>
  </si>
  <si>
    <t xml:space="preserve">Extended size range multiplies on model imagery requirements substantially beyond a standard apparel retailer. Drop cadence forces repeat full asset production. Turnaround context creates a cost mandate</t>
  </si>
  <si>
    <t xml:space="preserve">On model and size variant imagery plus drop asset systems</t>
  </si>
  <si>
    <t xml:space="preserve">$100K to $225K</t>
  </si>
  <si>
    <t xml:space="preserve">VP E-commerce; VP Creative; Head of Marketing</t>
  </si>
  <si>
    <t xml:space="preserve">Turnaround or cost programme; marketing leadership change; drop cadence increase</t>
  </si>
  <si>
    <t xml:space="preserve">Size range and SKU count. Drop cadence. Photography cost per drop. Cost programme targets</t>
  </si>
  <si>
    <t xml:space="preserve">PacSun, Marc Jacobs</t>
  </si>
  <si>
    <t xml:space="preserve">Size range multiplier is specific and credible. Handle representation carefully</t>
  </si>
  <si>
    <t xml:space="preserve">Burlington Stores</t>
  </si>
  <si>
    <t xml:space="preserve">1,100+ stores with rapid expansion. Off price model with constantly changing assortment</t>
  </si>
  <si>
    <t xml:space="preserve">Off price model means assortment changes continuously, which makes conventional product photography economically impossible and creates a permanent content gap. Rapid store expansion drives local and grand opening asset volume</t>
  </si>
  <si>
    <t xml:space="preserve">PDP and assortment content plus local store asset systems</t>
  </si>
  <si>
    <t xml:space="preserve">VP Marketing; VP E-commerce; Head of Creative Operations</t>
  </si>
  <si>
    <t xml:space="preserve">Store expansion programme; e-commerce investment; marketing leadership change</t>
  </si>
  <si>
    <t xml:space="preserve">Whether e-commerce is being built out. Store opening cadence. Assortment turnover rate. Creative ops structure</t>
  </si>
  <si>
    <t xml:space="preserve">Sam's Club, Goodwill</t>
  </si>
  <si>
    <t xml:space="preserve">Assortment churn is an unusual and strong angle</t>
  </si>
  <si>
    <t xml:space="preserve">Chewy</t>
  </si>
  <si>
    <t xml:space="preserve">Pure play e-commerce with 100,000+ SKUs, operates Chewy Ads retail media network, expanding private label brands</t>
  </si>
  <si>
    <t xml:space="preserve">Pure play e-commerce means PDP content quality is directly tied to revenue, and content coverage across 100,000 SKUs is structurally incomplete. Chewy Ads creates advertiser creative demand. Private label brand expansion adds owned brand content need</t>
  </si>
  <si>
    <t xml:space="preserve">PDP content at catalogue scale plus retail media creative</t>
  </si>
  <si>
    <t xml:space="preserve">VP E-commerce Content; VP Retail Media; Head of Creative Operations</t>
  </si>
  <si>
    <t xml:space="preserve">Chewy Ads expansion; private label brand launches; digital leadership change</t>
  </si>
  <si>
    <t xml:space="preserve">SKU content coverage percentage. Chewy Ads advertiser count. Private label brand count</t>
  </si>
  <si>
    <t xml:space="preserve">Hormel Foods</t>
  </si>
  <si>
    <t xml:space="preserve">40+ brands including Skippy, Planters, Jennie-O, Applegate, Wholly. Retail plus foodservice</t>
  </si>
  <si>
    <t xml:space="preserve">Dual channel structure means retail and foodservice each need distinct asset sets from the same brands. Very high brand count with a thin tail. Planters and Skippy carry real media weight, the rest carry almost none</t>
  </si>
  <si>
    <t xml:space="preserve">Long tail brand content plus dual channel asset variation</t>
  </si>
  <si>
    <t xml:space="preserve">VP Brand Marketing; VP Foodservice Marketing; Head of Creative Operations</t>
  </si>
  <si>
    <t xml:space="preserve">Efficiency programme; marketing leadership change; brand portfolio review</t>
  </si>
  <si>
    <t xml:space="preserve">Brand count from 10-K. Whether foodservice marketing is separate. Advertising expense</t>
  </si>
  <si>
    <t xml:space="preserve">Foodservice division may be an easier first entry than retail</t>
  </si>
  <si>
    <t xml:space="preserve">Lancaster Colony</t>
  </si>
  <si>
    <t xml:space="preserve">Marzetti and Sister Schubert's plus licensed restaurant brands including Olive Garden, Buffalo Wild Wings, Chick-fil-A dressings</t>
  </si>
  <si>
    <t xml:space="preserve">Licensed restaurant brand portfolio is an unusual and strong multiplier: each licensor brand requires assets that satisfy two brand systems simultaneously. That is exactly the governance problem a Brand Brain solves and almost nobody is selling into it</t>
  </si>
  <si>
    <t xml:space="preserve">Licensed brand asset governance plus retailer variation</t>
  </si>
  <si>
    <t xml:space="preserve">VP Brand Marketing; Head of Creative; VP Retail Sales and Marketing</t>
  </si>
  <si>
    <t xml:space="preserve">New licensed brand additions; marketing leadership change; retail expansion</t>
  </si>
  <si>
    <t xml:space="preserve">Number of licensed brands. Whether licensor brand approval is a known bottleneck. SKU count</t>
  </si>
  <si>
    <t xml:space="preserve">Licensed brand dual approval is a distinctive wedge</t>
  </si>
  <si>
    <t xml:space="preserve">Savers Value Village</t>
  </si>
  <si>
    <t xml:space="preserve">WA, US</t>
  </si>
  <si>
    <t xml:space="preserve">350+ thrift stores across US and Canada. Multiple banners. Assortment is entirely unique per store</t>
  </si>
  <si>
    <t xml:space="preserve">Every item is unique, which makes any product content strategy structurally impossible with conventional production. Multi banner and bilingual Canadian operations add multipliers. Sustainability narrative creates brand content need</t>
  </si>
  <si>
    <t xml:space="preserve">Local store and brand content systems plus social volume</t>
  </si>
  <si>
    <t xml:space="preserve">VP Marketing; Head of Brand; Director of Creative</t>
  </si>
  <si>
    <t xml:space="preserve">Marketing leadership change; store expansion; brand repositioning</t>
  </si>
  <si>
    <t xml:space="preserve">Banner count. Canadian operations and French requirement. Marketing team size and structure</t>
  </si>
  <si>
    <t xml:space="preserve">Goodwill, PacSun</t>
  </si>
  <si>
    <t xml:space="preserve">Goodwill reference is directly on point here. CASL applies to Canada</t>
  </si>
  <si>
    <t xml:space="preserve">Whoop</t>
  </si>
  <si>
    <t xml:space="preserve">$250M to $500M</t>
  </si>
  <si>
    <t xml:space="preserve">VC backed</t>
  </si>
  <si>
    <t xml:space="preserve">Wearable health technology with subscription model. High content requirement for education, community and performance marketing</t>
  </si>
  <si>
    <t xml:space="preserve">Subscription model means retention content plus acquisition creative plus feature education, three distinct content systems. Data driven brand narrative requires continuous content production. Late stage VC backing means budget and a growth mandate</t>
  </si>
  <si>
    <t xml:space="preserve">Performance creative plus education and lifecycle content</t>
  </si>
  <si>
    <t xml:space="preserve">VP Brand Marketing; Head of Content; VP Growth</t>
  </si>
  <si>
    <t xml:space="preserve">Product launch cycles; marketing leadership change; international expansion; funding deployment</t>
  </si>
  <si>
    <t xml:space="preserve">Active creative count. Content team size. Revenue requires estimation. Athlete and likeness rules will apply</t>
  </si>
  <si>
    <t xml:space="preserve">SimpliSafe, Quay, CyberArk</t>
  </si>
  <si>
    <t xml:space="preserve">Athlete likeness content is off limits. Scope carefully</t>
  </si>
  <si>
    <t xml:space="preserve">Flowers Foods</t>
  </si>
  <si>
    <t xml:space="preserve">Nature's Own, Dave's Killer Bread, Wonder, Canyon Bakehouse plus regional bakery brands. Direct store delivery network</t>
  </si>
  <si>
    <t xml:space="preserve">Regional bakery brand structure plus a direct store delivery network creates a geographic and brand multiplication problem. Most brands in the portfolio receive minimal creative investment. Recent Simple Mills acquisition adds another brand system</t>
  </si>
  <si>
    <t xml:space="preserve">Acquisition integration; marketing leadership change; margin improvement programme</t>
  </si>
  <si>
    <t xml:space="preserve">Brand count. Whether regional brands have any creative support. Advertising expense</t>
  </si>
  <si>
    <t xml:space="preserve">Svedka, Sam's Club</t>
  </si>
  <si>
    <t xml:space="preserve">Arhaus</t>
  </si>
  <si>
    <t xml:space="preserve">100+ showrooms with expansion. High SKU count with fabric, finish and configuration variation</t>
  </si>
  <si>
    <t xml:space="preserve">Furniture configuration variation across fabrics and finishes produces a combinatorial imagery problem that photography cannot economically cover. Showroom expansion adds local assets. Mid market revenue with a growing catalogue is a capacity constraint</t>
  </si>
  <si>
    <t xml:space="preserve">Configuration and variant imagery at catalogue scale</t>
  </si>
  <si>
    <t xml:space="preserve">Showroom expansion; e-commerce investment; marketing leadership change</t>
  </si>
  <si>
    <t xml:space="preserve">SKU and configuration count. Content coverage percentage. Creative team size</t>
  </si>
  <si>
    <t xml:space="preserve">Configuration combinatorics is the clearest math to show</t>
  </si>
  <si>
    <t xml:space="preserve">CAVA Group</t>
  </si>
  <si>
    <t xml:space="preserve">QSR and fast casual</t>
  </si>
  <si>
    <t xml:space="preserve">DC, US</t>
  </si>
  <si>
    <t xml:space="preserve">370+ locations with very aggressive expansion. Company operated. High menu innovation and seasonal cadence</t>
  </si>
  <si>
    <t xml:space="preserve">Aggressive unit growth into new markets creates continuous local asset demand. Company operated means faster decisions than a franchise system. Menu innovation cadence is high. Growth stage marketing team is almost certainly capacity constrained</t>
  </si>
  <si>
    <t xml:space="preserve">Local market asset systems plus menu and social content volume</t>
  </si>
  <si>
    <t xml:space="preserve">Unit growth and new market entry; marketing leadership hires; digital investment</t>
  </si>
  <si>
    <t xml:space="preserve">New market entry cadence. Marketing team size. Whether food photography is in house or agency</t>
  </si>
  <si>
    <t xml:space="preserve">Company operated means faster decisions than franchise peers</t>
  </si>
  <si>
    <t xml:space="preserve">Amorepacific US</t>
  </si>
  <si>
    <t xml:space="preserve">Laneige, Innisfree, Sulwhasoo, COSRX in the US market. Multiple brands with distinct positioning</t>
  </si>
  <si>
    <t xml:space="preserve">Multiple K beauty brands in a US market requiring cultural and language adaptation from Korean source creative, which is a localization problem in its most literal form. Sephora and Amazon as primary channels each need distinct asset packages</t>
  </si>
  <si>
    <t xml:space="preserve">Cultural adaptation and localization plus retailer asset packages</t>
  </si>
  <si>
    <t xml:space="preserve">$75K to $175K</t>
  </si>
  <si>
    <t xml:space="preserve">VP Marketing US; Head of Brand; Head of Creative</t>
  </si>
  <si>
    <t xml:space="preserve">US growth investment; regional leadership change; brand launch activity</t>
  </si>
  <si>
    <t xml:space="preserve">US entity decision authority. Brand count in the US. Whether creative comes from Seoul. Revenue requires estimation</t>
  </si>
  <si>
    <t xml:space="preserve">Cultural adaptation from Korean source creative is the specific wedge</t>
  </si>
  <si>
    <t xml:space="preserve">Sol de Janeiro</t>
  </si>
  <si>
    <t xml:space="preserve">High growth body and fragrance brand within Grupo Boticario. Sold through Sephora and Ulta. Heavy social and creator content</t>
  </si>
  <si>
    <t xml:space="preserve">Growth rate has substantially outpaced marketing infrastructure. Social and creator content volume is the primary channel. Retailer specific requirements for Sephora and Ulta. Parent company is Brazilian, meaning the US entity likely has meaningful local autonomy</t>
  </si>
  <si>
    <t xml:space="preserve">Social and creator content volume plus retailer asset packages</t>
  </si>
  <si>
    <t xml:space="preserve">VP Brand Marketing; Head of Content; Head of Creative</t>
  </si>
  <si>
    <t xml:space="preserve">US growth investment; marketing leadership hires; category or market expansion</t>
  </si>
  <si>
    <t xml:space="preserve">US entity decision authority versus parent. Social cadence versus team size. Revenue requires estimation</t>
  </si>
  <si>
    <t xml:space="preserve">Confirm US entity budget autonomy before scoping</t>
  </si>
  <si>
    <t xml:space="preserve">First Watch Restaurant Group</t>
  </si>
  <si>
    <t xml:space="preserve">570+ locations, mixed franchise and company operated, aggressive unit growth, seasonal menu cadence</t>
  </si>
  <si>
    <t xml:space="preserve">Mixed ownership model with franchise base creating local asset demand. Very aggressive unit growth into new markets. Seasonal menu rotation is a core brand mechanic requiring recurring food photography and campaign assets</t>
  </si>
  <si>
    <t xml:space="preserve">Franchise and local asset systems plus seasonal menu content</t>
  </si>
  <si>
    <t xml:space="preserve">CMO; VP Marketing; VP Field Marketing</t>
  </si>
  <si>
    <t xml:space="preserve">Unit growth programme; marketing leadership change; franchise expansion</t>
  </si>
  <si>
    <t xml:space="preserve">Franchise versus company split. Ad fund structure. Seasonal menu cadence and photography cost. Marketing team size</t>
  </si>
  <si>
    <t xml:space="preserve">Seasonal menu rotation is the recurring revenue hook</t>
  </si>
  <si>
    <t xml:space="preserve">Ollie's Bargain Outlet</t>
  </si>
  <si>
    <t xml:space="preserve">550+ stores with rapid expansion. Closeout model with constantly changing assortment. Minimal e-commerce</t>
  </si>
  <si>
    <t xml:space="preserve">Closeout assortment changes weekly, making conventional content production impossible. Rapid store expansion drives local and opening asset volume. Weekly circular and promotional cadence is heavy relative to marketing team size</t>
  </si>
  <si>
    <t xml:space="preserve">Weekly promotional asset systems plus local store assets</t>
  </si>
  <si>
    <t xml:space="preserve">VP Marketing; Head of Creative; Director of Digital Marketing</t>
  </si>
  <si>
    <t xml:space="preserve">Store expansion programme; marketing leadership change; digital investment</t>
  </si>
  <si>
    <t xml:space="preserve">Circular and promotional cadence. Marketing team size. Whether creative is agency led</t>
  </si>
  <si>
    <t xml:space="preserve">Weekly promo cadence at a lean team is the pain</t>
  </si>
  <si>
    <t xml:space="preserve">Rare Beauty</t>
  </si>
  <si>
    <t xml:space="preserve">Celebrity founded beauty brand with high social cadence. Sold through Sephora. Shade heavy assortment</t>
  </si>
  <si>
    <t xml:space="preserve">Shade range plus high social cadence against a small team. Sephora as primary retail channel means retailer specific asset requirements. Celebrity founder association means creative approval is tight, which makes governance valuable rather than optional</t>
  </si>
  <si>
    <t xml:space="preserve">Shade variant imagery plus social content volume</t>
  </si>
  <si>
    <t xml:space="preserve">Marketing leadership change; international expansion; category expansion</t>
  </si>
  <si>
    <t xml:space="preserve">Shade count per franchise. Social cadence versus team size. Private financials require estimation. Talent likeness rules will be strict</t>
  </si>
  <si>
    <t xml:space="preserve">Likeness and talent rules will be a real constraint. Prepare for it</t>
  </si>
  <si>
    <t xml:space="preserve">Olaplex Holdings</t>
  </si>
  <si>
    <t xml:space="preserve">Professional and consumer hair care with numbered product system. Salon plus retail plus DTC channels</t>
  </si>
  <si>
    <t xml:space="preserve">Three channel structure requiring different asset packages from a small SKU count. Turnaround context creates a cost and growth mandate. Education content for the professional channel is a distinct and underserved volume requirement</t>
  </si>
  <si>
    <t xml:space="preserve">Education and channel asset systems plus social content volume</t>
  </si>
  <si>
    <t xml:space="preserve">Turnaround programme; marketing leadership change; international expansion</t>
  </si>
  <si>
    <t xml:space="preserve">Channel asset requirements. Education content volume. Creative team size. Cost programme targets</t>
  </si>
  <si>
    <t xml:space="preserve">Professional education content is the underpitched angle</t>
  </si>
  <si>
    <t xml:space="preserve">Rothy's</t>
  </si>
  <si>
    <t xml:space="preserve">Sustainable footwear and accessories. Colourway and pattern heavy. International expansion. PE majority owner</t>
  </si>
  <si>
    <t xml:space="preserve">Colourway and pattern volume against a lean creative team. PE ownership creates a cost and growth mandate. Sustainability narrative requires continuous content that supports substantiated claims, where governance has value</t>
  </si>
  <si>
    <t xml:space="preserve">Colourway variant imagery plus brand and social content volume</t>
  </si>
  <si>
    <t xml:space="preserve">$75K to $150K</t>
  </si>
  <si>
    <t xml:space="preserve">VP Brand Marketing; Head of Creative; Head of E-commerce</t>
  </si>
  <si>
    <t xml:space="preserve">PE cost or growth programme; marketing leadership change; international expansion</t>
  </si>
  <si>
    <t xml:space="preserve">PE sponsor and hold period. Colourway count. Creative team size. Revenue requires estimation</t>
  </si>
  <si>
    <t xml:space="preserve">Cap the first scope. Revenue estimate is uncertain</t>
  </si>
  <si>
    <t xml:space="preserve">Sweetgreen</t>
  </si>
  <si>
    <t xml:space="preserve">250+ locations with expansion. Company operated. High menu innovation cadence. Digital first ordering model</t>
  </si>
  <si>
    <t xml:space="preserve">Digital first model means app and web asset requirements on top of local and menu content. Menu innovation cadence is high. Path to profitability pressure creates a cost mandate at a scale where marketing budget is genuinely constrained</t>
  </si>
  <si>
    <t xml:space="preserve">Menu and local asset systems plus digital content volume</t>
  </si>
  <si>
    <t xml:space="preserve">Path to profitability programme; marketing leadership change; unit growth; menu platform launches</t>
  </si>
  <si>
    <t xml:space="preserve">Marketing team size and budget. Menu photography cadence and cost. Cost programme targets</t>
  </si>
  <si>
    <t xml:space="preserve">Budget is genuinely constrained. Cap the first scope</t>
  </si>
  <si>
    <t xml:space="preserve">Vera Bradley</t>
  </si>
  <si>
    <t xml:space="preserve">IN, US</t>
  </si>
  <si>
    <t xml:space="preserve">Vera Bradley and Pura Vida. Print based design system with very high pattern and colourway variation</t>
  </si>
  <si>
    <t xml:space="preserve">Print and pattern based design means every new pattern must be visualized across the entire product line, which is a pure combinatorial imagery problem. Two brands with different audiences. Turnaround context creates a cost mandate at a scale where budget is tight</t>
  </si>
  <si>
    <t xml:space="preserve">Pattern and colourway variant imagery at scale</t>
  </si>
  <si>
    <t xml:space="preserve">Turnaround or cost programme; marketing leadership change; brand repositioning</t>
  </si>
  <si>
    <t xml:space="preserve">Pattern count per season times SKU count. Creative team size. Cost programme targets. Budget reality at this revenue scale</t>
  </si>
  <si>
    <t xml:space="preserve">Marc Jacobs, Quay, PacSun</t>
  </si>
  <si>
    <t xml:space="preserve">Pattern times SKU math is compelling. Budget may be constrained</t>
  </si>
  <si>
    <t xml:space="preserve">Ro</t>
  </si>
  <si>
    <t xml:space="preserve">Telehealth and DTC pharmacy across multiple condition categories. Performance marketing led. Late stage VC backed</t>
  </si>
  <si>
    <t xml:space="preserve">Same structural profile as Hims at smaller scale. Performance creative volume is the growth constraint. Regulated health claims require governance. VC backing means budget and a growth mandate, plus pressure to demonstrate efficiency</t>
  </si>
  <si>
    <t xml:space="preserve">VP Growth; Head of Brand; Head of Creative</t>
  </si>
  <si>
    <t xml:space="preserve">Category expansion; marketing leadership change; efficiency programme; funding activity</t>
  </si>
  <si>
    <t xml:space="preserve">Active Meta creative count. Creative team size. Revenue requires estimation. Category count</t>
  </si>
  <si>
    <t xml:space="preserve">Glossier</t>
  </si>
  <si>
    <t xml:space="preserve">DTC beauty transitioning to wholesale through Sephora. Brand built on distinctive visual identity and community content</t>
  </si>
  <si>
    <t xml:space="preserve">Wholesale expansion into Sephora creates a new asset requirement layer the DTC operating model was not built for. Brand identity is highly specific, which makes a governance layer valuable. VC backing means growth mandate and budget, plus pressure to demonstrate efficiency</t>
  </si>
  <si>
    <t xml:space="preserve">Retailer asset packages plus social content volume</t>
  </si>
  <si>
    <t xml:space="preserve">VP Brand Marketing; Head of Creative; Head of Content</t>
  </si>
  <si>
    <t xml:space="preserve">Wholesale expansion; marketing leadership change; efficiency or path to profitability programme</t>
  </si>
  <si>
    <t xml:space="preserve">Wholesale channel asset requirements. Creative team size. Revenue requires estimation. Aesthetic specificity will be an objection</t>
  </si>
  <si>
    <t xml:space="preserve">Brand aesthetic specificity is the main objection. Lead with the reel</t>
  </si>
  <si>
    <t xml:space="preserve">Duluth Trading Company</t>
  </si>
  <si>
    <t xml:space="preserve">Owned brand apparel with size and fit variation. 60+ stores plus catalogue plus e-commerce. Distinctive brand voice</t>
  </si>
  <si>
    <t xml:space="preserve">Catalogue plus e-commerce plus retail requires three asset systems from one small creative team. Extended size and fit range multiplies imagery. Brand is built on a distinctive illustrated and narrative style, which is a governance opportunity rather than an obstacle</t>
  </si>
  <si>
    <t xml:space="preserve">PDP and size variant imagery plus catalogue asset systems</t>
  </si>
  <si>
    <t xml:space="preserve">Turnaround or cost programme; marketing leadership change; catalogue strategy change</t>
  </si>
  <si>
    <t xml:space="preserve">Catalogue production volume and cost. SKU and size variant count. Creative team size</t>
  </si>
  <si>
    <t xml:space="preserve">Nutrafol</t>
  </si>
  <si>
    <t xml:space="preserve">Hair wellness supplements within Unilever. Practitioner, DTC and retail channels. Claim heavy category</t>
  </si>
  <si>
    <t xml:space="preserve">Multi channel structure requiring different asset packages. Within Unilever but likely retains operational autonomy. Clinical claim substantiation makes governance valuable. Practitioner education content is a distinct and underserved need</t>
  </si>
  <si>
    <t xml:space="preserve">Channel asset systems plus practitioner education content</t>
  </si>
  <si>
    <t xml:space="preserve">VP Marketing; Head of Brand; Head of Creative</t>
  </si>
  <si>
    <t xml:space="preserve">Unilever integration; marketing leadership change; international expansion; channel expansion</t>
  </si>
  <si>
    <t xml:space="preserve">Entity autonomy within Unilever. Channel asset requirements. Revenue requires estimation</t>
  </si>
  <si>
    <t xml:space="preserve">SimpliSafe, Sephora and LVMH</t>
  </si>
  <si>
    <t xml:space="preserve">Confirm autonomy within Unilever before investing time</t>
  </si>
  <si>
    <t xml:space="preserve">Vital Farms</t>
  </si>
  <si>
    <t xml:space="preserve">Eggs and butter with a strong brand and mission narrative. Rapid growth. Small marketing organization</t>
  </si>
  <si>
    <t xml:space="preserve">Small SKU count but very high content need relative to team size, driven by a brand built on storytelling and farm level provenance content. Growth rate against a lean team is the constraint</t>
  </si>
  <si>
    <t xml:space="preserve">Social and brand content volume plus retailer assets</t>
  </si>
  <si>
    <t xml:space="preserve">Marketing leadership change; capacity hiring; retail distribution expansion</t>
  </si>
  <si>
    <t xml:space="preserve">Marketing headcount versus revenue. Meta creative count. Whether content is produced in house</t>
  </si>
  <si>
    <t xml:space="preserve">Quay, Goodwill</t>
  </si>
  <si>
    <t xml:space="preserve">Small but fast. Cap first scope</t>
  </si>
  <si>
    <t xml:space="preserve">iRhythm Technologies</t>
  </si>
  <si>
    <t xml:space="preserve">Ambulatory cardiac monitoring. Growing consumer and HCP marketing. International expansion underway</t>
  </si>
  <si>
    <t xml:space="preserve">Growth stage medical device with expanding consumer marketing and a dual patient plus HCP audience. Patient education content is a core need. International expansion adds localization. Small marketing team relative to growth means acute capacity constraint</t>
  </si>
  <si>
    <t xml:space="preserve">Patient education content plus HCP asset systems</t>
  </si>
  <si>
    <t xml:space="preserve">VP Marketing; Head of Creative; VP Commercial Marketing</t>
  </si>
  <si>
    <t xml:space="preserve">International expansion; marketing leadership change; capacity hiring; product launches</t>
  </si>
  <si>
    <t xml:space="preserve">Market count. Marketing team size. Whether patient and HCP creative are separate. Promotional review process</t>
  </si>
  <si>
    <t xml:space="preserve">SimpliSafe, CyberArk</t>
  </si>
  <si>
    <t xml:space="preserve">Mielle Organics</t>
  </si>
  <si>
    <t xml:space="preserve">Textured hair care brand within P&amp;G Beauty. High SKU count. Strong community and creator content requirement</t>
  </si>
  <si>
    <t xml:space="preserve">High SKU count across hair type and concern segmentation. Creator and community content volume is the primary channel. Within P&amp;G but likely retains operational autonomy, which means a local buying centre with corporate governance standards</t>
  </si>
  <si>
    <t xml:space="preserve">Creator content adaptation plus PDP and SKU content</t>
  </si>
  <si>
    <t xml:space="preserve">P&amp;G integration; marketing leadership change; distribution expansion</t>
  </si>
  <si>
    <t xml:space="preserve">Entity autonomy within P&amp;G. SKU count. Creator content volume. Revenue requires estimation</t>
  </si>
  <si>
    <t xml:space="preserve">Sephora and LVMH, Quay, Goodwill</t>
  </si>
  <si>
    <t xml:space="preserve">Confirm autonomy within P&amp;G before investing time</t>
  </si>
  <si>
    <t xml:space="preserve">Portillo's</t>
  </si>
  <si>
    <t xml:space="preserve">85+ locations with expansion into new states. Company operated. Strong regional brand with national ambitions</t>
  </si>
  <si>
    <t xml:space="preserve">New state market entry requires local asset development that a regional marketing team has not had to produce before. Company operated means fast decisions. Menu and LTO cadence plus a distinctive brand voice that needs governance as the footprint expands</t>
  </si>
  <si>
    <t xml:space="preserve">Local market asset systems plus menu content</t>
  </si>
  <si>
    <t xml:space="preserve">CMO; VP Marketing; Head of Creative</t>
  </si>
  <si>
    <t xml:space="preserve">New state market entry; unit growth programme; marketing leadership change</t>
  </si>
  <si>
    <t xml:space="preserve">New market entry cadence. Marketing team size. Whether local assets are produced centrally</t>
  </si>
  <si>
    <t xml:space="preserve">Sam's Club</t>
  </si>
  <si>
    <t xml:space="preserve">Small footprint but expanding fast. Cap first scope</t>
  </si>
  <si>
    <t xml:space="preserve">Thorne HealthTech</t>
  </si>
  <si>
    <t xml:space="preserve">S3, S9</t>
  </si>
  <si>
    <t xml:space="preserve">Supplements and testing across practitioner, consumer and enterprise channels. Very high SKU count. Claim heavy category</t>
  </si>
  <si>
    <t xml:space="preserve">Three channel structure with different asset requirements from a large SKU count. PE ownership creates a cost and growth mandate. Supplement claim substantiation makes governance a paid feature. Practitioner education content is a distinct volume need</t>
  </si>
  <si>
    <t xml:space="preserve">PDP and SKU content plus channel asset systems</t>
  </si>
  <si>
    <t xml:space="preserve">VP Marketing; Head of Creative; VP E-commerce</t>
  </si>
  <si>
    <t xml:space="preserve">PE cost or growth programme; marketing leadership change; channel expansion</t>
  </si>
  <si>
    <t xml:space="preserve">PE sponsor and hold period. SKU count. Channel asset requirements. Revenue requires estimation</t>
  </si>
  <si>
    <t xml:space="preserve">SimpliSafe, Quay</t>
  </si>
  <si>
    <t xml:space="preserve">Faherty Brand</t>
  </si>
  <si>
    <t xml:space="preserve">Growing lifestyle apparel brand. 70+ stores. Print and pattern heavy assortment. Family founded</t>
  </si>
  <si>
    <t xml:space="preserve">Print based assortment plus store expansion plus lean creative team. Founder led means a fast decision if the founder engages, and an unproductive middle if they do not. Brand storytelling volume requirement is high relative to team size</t>
  </si>
  <si>
    <t xml:space="preserve">Print and colourway variant imagery plus social content volume</t>
  </si>
  <si>
    <t xml:space="preserve">Head of Creative; VP Brand Marketing; Head of E-commerce</t>
  </si>
  <si>
    <t xml:space="preserve">Store expansion; marketing leadership hires; wholesale expansion</t>
  </si>
  <si>
    <t xml:space="preserve">Store count. Print and SKU count. Creative team size. Private company financials require estimation. Reach the founder or exit</t>
  </si>
  <si>
    <t xml:space="preserve">PacSun, Quay</t>
  </si>
  <si>
    <t xml:space="preserve">Founder led. Reach the founder directly or deprioritize</t>
  </si>
  <si>
    <t xml:space="preserve">LEGEND</t>
  </si>
  <si>
    <t xml:space="preserve">Yellow score cells</t>
  </si>
  <si>
    <t xml:space="preserve">AI maturity /8 and Tech signature /5 are unverified defaults on every row. Enrich then overwrite. FIT scores are floors.</t>
  </si>
  <si>
    <t xml:space="preserve">Live formula: SUM of the 14 score columns. Max 100. Maps 1:1 to Section 16.1 of the ICP Playbook.</t>
  </si>
  <si>
    <t xml:space="preserve">Live formula. 78+ Tier 1 Named. 68 to 77 Tier 2 Priority. 58 to 67 Tier 3 Volume. 45 to 57 Nurture. Under 45 Disqualify.</t>
  </si>
  <si>
    <t xml:space="preserve">1 = first 30 days. 2 = days 31 to 60. 3 = days 61 to 90.</t>
  </si>
  <si>
    <t xml:space="preserve">Planning estimate only. Any client facing number must come from the Silverside Credit System via the pricing skill.</t>
  </si>
  <si>
    <t xml:space="preserve">Conflict Check</t>
  </si>
  <si>
    <t xml:space="preserve">Rows flagged CONFLICT CHECK sit in a category where Silverside has a live client or active pursuit. Clear with Sam before outreach.</t>
  </si>
  <si>
    <t xml:space="preserve">Financial Services</t>
  </si>
  <si>
    <t xml:space="preserve">Deliberately zero financial services accounts on this list. The audit found FS at 36 percent of targeting. Consumer fintech re enters only under the Financial Services Rule in Section 3.2.</t>
  </si>
  <si>
    <t xml:space="preserve">ICP FIT SCORING RUBRIC  |  100 POINTS</t>
  </si>
  <si>
    <t xml:space="preserve">Maps 1:1 to Section 16.1 of the ICP and Prospecting Playbook. Edit a score cell on the Top 100 tab and FIT and TIER recalculate automatically.</t>
  </si>
  <si>
    <t xml:space="preserve">Column</t>
  </si>
  <si>
    <t xml:space="preserve">Category</t>
  </si>
  <si>
    <t xml:space="preserve">Max</t>
  </si>
  <si>
    <t xml:space="preserve">Scoring rules</t>
  </si>
  <si>
    <t xml:space="preserve">Data source</t>
  </si>
  <si>
    <t xml:space="preserve">P</t>
  </si>
  <si>
    <t xml:space="preserve">Industry fit</t>
  </si>
  <si>
    <t xml:space="preserve">12</t>
  </si>
  <si>
    <t xml:space="preserve">Tier 1 = 12. Tier 2 = 8. Tier 3 = 4. Tier 4 = 0 and hard disqualify</t>
  </si>
  <si>
    <t xml:space="preserve">Section 3.1 taxonomy</t>
  </si>
  <si>
    <t xml:space="preserve">Q</t>
  </si>
  <si>
    <t xml:space="preserve">Annual revenue</t>
  </si>
  <si>
    <t xml:space="preserve">10</t>
  </si>
  <si>
    <t xml:space="preserve">$1B-$5B = 10. $500M-$1B = 9. $250M-$500M = 8. $5B-$10B = 8. $100M-$250M = 5. Over $10B = 5 without sponsor, 9 with</t>
  </si>
  <si>
    <t xml:space="preserve">Apollo, SEC EDGAR, Crunchbase</t>
  </si>
  <si>
    <t xml:space="preserve">R</t>
  </si>
  <si>
    <t xml:space="preserve">Employee count</t>
  </si>
  <si>
    <t xml:space="preserve">4</t>
  </si>
  <si>
    <t xml:space="preserve">1,001-5,000 = 4. 501-1,000 = 4. 201-500 = 3. 5,001-10,000 = 3. Over 10,000 = 2. 50-200 = 1</t>
  </si>
  <si>
    <t xml:space="preserve">Apollo, LinkedIn</t>
  </si>
  <si>
    <t xml:space="preserve">S</t>
  </si>
  <si>
    <t xml:space="preserve">Marketing spend</t>
  </si>
  <si>
    <t xml:space="preserve">8</t>
  </si>
  <si>
    <t xml:space="preserve">$50M+ = 8. $20M-$50M = 7. $10M-$20M = 5. $5M-$10M = 4. $1M-$5M = 2. Under $1M = 0</t>
  </si>
  <si>
    <t xml:space="preserve">EDGAR full text search for advertising expense; ad library proxy</t>
  </si>
  <si>
    <t xml:space="preserve">T</t>
  </si>
  <si>
    <t xml:space="preserve">Content volume</t>
  </si>
  <si>
    <t xml:space="preserve">500+ assets/mo = 10. 200-500 = 8. 100-200 = 6. 50-100 = 3. Under 50 = 0</t>
  </si>
  <si>
    <t xml:space="preserve">Meta Ad Library count, social cadence, SKU count</t>
  </si>
  <si>
    <t xml:space="preserve">U</t>
  </si>
  <si>
    <t xml:space="preserve">Video production need</t>
  </si>
  <si>
    <t xml:space="preserve">6</t>
  </si>
  <si>
    <t xml:space="preserve">Continuous multi format = 6. Regular campaign = 4. Occasional = 2. None = 0</t>
  </si>
  <si>
    <t xml:space="preserve">YouTube, TikTok, Meta video creative share</t>
  </si>
  <si>
    <t xml:space="preserve">V</t>
  </si>
  <si>
    <t xml:space="preserve">Number of brands</t>
  </si>
  <si>
    <t xml:space="preserve">10+ = 8. 5-9 = 7. 3-4 = 5. 2 = 3. 1 = 1</t>
  </si>
  <si>
    <t xml:space="preserve">Company site brand page, 10-K segments</t>
  </si>
  <si>
    <t xml:space="preserve">W</t>
  </si>
  <si>
    <t xml:space="preserve">Markets or languages</t>
  </si>
  <si>
    <t xml:space="preserve">7</t>
  </si>
  <si>
    <t xml:space="preserve">10+ = 7. 5-9 = 6. 3-4 = 4. 2 = 2. 1 = 0</t>
  </si>
  <si>
    <t xml:space="preserve">Site locale selector, 10-K geographic segments</t>
  </si>
  <si>
    <t xml:space="preserve">X</t>
  </si>
  <si>
    <t xml:space="preserve">Locations or franchise</t>
  </si>
  <si>
    <t xml:space="preserve">5</t>
  </si>
  <si>
    <t xml:space="preserve">500+ = 5. 100-499 = 4. 25-99 = 2. Under 25 or n/a = 0</t>
  </si>
  <si>
    <t xml:space="preserve">Store locator, Franchise Disclosure Document</t>
  </si>
  <si>
    <t xml:space="preserve">Y</t>
  </si>
  <si>
    <t xml:space="preserve">E-commerce and SKU count</t>
  </si>
  <si>
    <t xml:space="preserve">5,000+ SKUs with strong e-comm = 6. 1,000-5,000 = 5. 500-1,000 = 3. 100-500 = 2. Under 100 = 0</t>
  </si>
  <si>
    <t xml:space="preserve">Site category crawl, Semrush, technographics</t>
  </si>
  <si>
    <t xml:space="preserve">Z</t>
  </si>
  <si>
    <t xml:space="preserve">Paid media activity</t>
  </si>
  <si>
    <t xml:space="preserve">200+ active Meta creatives = 6. 100-199 = 5. 50-99 = 3. 10-49 = 1. Under 10 = 0</t>
  </si>
  <si>
    <t xml:space="preserve">Meta Ad Library advertiser search. Free and highly reliable</t>
  </si>
  <si>
    <t xml:space="preserve">AA</t>
  </si>
  <si>
    <t xml:space="preserve">AI readiness stage</t>
  </si>
  <si>
    <t xml:space="preserve">Stage 4 or 5 = 8. Stage 3 or 6 = 7. Stage 7 = 4. Stage 2 = 3. Stage 8 = 1. Stage 1 = 0. DEFAULT 5 = unverified</t>
  </si>
  <si>
    <t xml:space="preserve">Job postings, press, LinkedIn, discovery</t>
  </si>
  <si>
    <t xml:space="preserve">AB</t>
  </si>
  <si>
    <t xml:space="preserve">Technology signature</t>
  </si>
  <si>
    <t xml:space="preserve">Enterprise DAM + PIM + gen AI seats = 5. Two of three = 4. One = 2. None detected = 0. DEFAULT 2 = unverified</t>
  </si>
  <si>
    <t xml:space="preserve">BuiltWith, Clay, Apollo technographics</t>
  </si>
  <si>
    <t xml:space="preserve">AC</t>
  </si>
  <si>
    <t xml:space="preserve">Procurement feasibility</t>
  </si>
  <si>
    <t xml:space="preserve">Under $1B and light = 5. $1B-$10B = 3. Over $10B = 1. Government or heavily regulated = 0</t>
  </si>
  <si>
    <t xml:space="preserve">Inferred from firmographics</t>
  </si>
  <si>
    <t xml:space="preserve">AD</t>
  </si>
  <si>
    <t xml:space="preserve">TOTAL FIT</t>
  </si>
  <si>
    <t xml:space="preserve">100</t>
  </si>
  <si>
    <t xml:space="preserve">Live SUM formula</t>
  </si>
  <si>
    <t xml:space="preserve">-</t>
  </si>
  <si>
    <t xml:space="preserve">TIER THRESHOLDS AND ACTION</t>
  </si>
  <si>
    <t xml:space="preserve">Tier</t>
  </si>
  <si>
    <t xml:space="preserve">FIT range</t>
  </si>
  <si>
    <t xml:space="preserve">Contacts per account</t>
  </si>
  <si>
    <t xml:space="preserve">Research investment</t>
  </si>
  <si>
    <t xml:space="preserve">Sequence type</t>
  </si>
  <si>
    <t xml:space="preserve">Tier 1 Named</t>
  </si>
  <si>
    <t xml:space="preserve">78 to 100</t>
  </si>
  <si>
    <t xml:space="preserve">5 to 8</t>
  </si>
  <si>
    <t xml:space="preserve">60 to 90 min per account</t>
  </si>
  <si>
    <t xml:space="preserve">Fully bespoke, hand written</t>
  </si>
  <si>
    <t xml:space="preserve">Tier 2 Priority</t>
  </si>
  <si>
    <t xml:space="preserve">68 to 77</t>
  </si>
  <si>
    <t xml:space="preserve">4 to 6</t>
  </si>
  <si>
    <t xml:space="preserve">20 to 30 min per account</t>
  </si>
  <si>
    <t xml:space="preserve">Vertical template plus 2 personalized lines per email</t>
  </si>
  <si>
    <t xml:space="preserve">Tier 3 Volume</t>
  </si>
  <si>
    <t xml:space="preserve">58 to 67</t>
  </si>
  <si>
    <t xml:space="preserve">2 to 3</t>
  </si>
  <si>
    <t xml:space="preserve">Zero. Do not research</t>
  </si>
  <si>
    <t xml:space="preserve">Vertical template plus 1 merge personalized line</t>
  </si>
  <si>
    <t xml:space="preserve">Nurture</t>
  </si>
  <si>
    <t xml:space="preserve">45 to 57</t>
  </si>
  <si>
    <t xml:space="preserve">1</t>
  </si>
  <si>
    <t xml:space="preserve">Zero</t>
  </si>
  <si>
    <t xml:space="preserve">Content and event only. No sequence</t>
  </si>
  <si>
    <t xml:space="preserve">Disqualify</t>
  </si>
  <si>
    <t xml:space="preserve">Under 45</t>
  </si>
  <si>
    <t xml:space="preserve">0</t>
  </si>
  <si>
    <t xml:space="preserve">Suppress. Log disqualification_reason</t>
  </si>
  <si>
    <t xml:space="preserve">THE OTHER THREE SCORES  |  computed outside this workbook</t>
  </si>
  <si>
    <t xml:space="preserve">Score</t>
  </si>
  <si>
    <t xml:space="preserve">What it drives</t>
  </si>
  <si>
    <t xml:space="preserve">Where it lives</t>
  </si>
  <si>
    <t xml:space="preserve">INTENT</t>
  </si>
  <si>
    <t xml:space="preserve">50</t>
  </si>
  <si>
    <t xml:space="preserve">Sequencing order and timing within a tier. Time decayed. Recompute weekly</t>
  </si>
  <si>
    <t xml:space="preserve">CLAW / SAGE Postgres, written back to HubSpot intent_score</t>
  </si>
  <si>
    <t xml:space="preserve">RELATIONSHIP</t>
  </si>
  <si>
    <t xml:space="preserve">25</t>
  </si>
  <si>
    <t xml:space="preserve">Channel routing. 15 or above means HubSpot warm, never an Apollo cold sequence</t>
  </si>
  <si>
    <t xml:space="preserve">HubSpot associations plus LinkedIn Sales Navigator</t>
  </si>
  <si>
    <t xml:space="preserve">OPPORTUNITY</t>
  </si>
  <si>
    <t xml:space="preserve">Effort allocation and when to involve an executive</t>
  </si>
  <si>
    <t xml:space="preserve">Manual at qualification</t>
  </si>
  <si>
    <t xml:space="preserve">TOTAL PRIORITY</t>
  </si>
  <si>
    <t xml:space="preserve">(FIT x 0.45) + (INTENT x 0.25) + (RELATION x 0.10) + (OPPTY x 0.20), normalized</t>
  </si>
  <si>
    <t xml:space="preserve">CLAW / SAGE Postgres, written back weekly</t>
  </si>
  <si>
    <t xml:space="preserve">CONSTRAINT: reply tracking is SMTP only and broken for reply measurement, so the engagement component of INTENT cannot be scored reliably until OAuth is implemented. CONSTRAINT: notes_last_contacted is corrupted by the Apollo evening bulk sync on 600+ records and must not be used as a freshness signal in any list logic.</t>
  </si>
  <si>
    <t xml:space="preserve">APOLLO AND CRUNCHBASE FILTER SETS  |  COPY READY</t>
  </si>
  <si>
    <t xml:space="preserve">Apply the global exclusions to every search. Cold sends on Apollo cousin domains only, never silverside.ai primary. Human in the loop approval required before any send. Verify every email address before enrolment.</t>
  </si>
  <si>
    <t xml:space="preserve">FILTER SET</t>
  </si>
  <si>
    <t xml:space="preserve">COPY READY SPECIFICATION</t>
  </si>
  <si>
    <t xml:space="preserve">GLOBAL EXCLUSIONS  |  apply to every search</t>
  </si>
  <si>
    <t xml:space="preserve">EXCLUDE Industry: Banking, Financial Services (institutional), Insurance,
  Hospital &amp; Health Care (providers), Pharmaceuticals (Rx), Government
  Administration, Legal Services, Accounting, Real Estate, Construction,
  Oil &amp; Energy, Mining &amp; Metals, Wholesale, Staffing &amp; Recruiting,
  Higher Education, Cryptocurrency
EXCLUDE Employee count: 1-50
EXCLUDE Revenue: under $100M
EXCLUDE Country: Germany, France, Canada   [pending legal review: GDPR / CASL]
EXCLUDE existing Silverside clients and active pipeline  [see Suppression List tab]
EXCLUDE job function: Legal, Finance, Human Resources, Information Security
REQUIRE Email status: Verified</t>
  </si>
  <si>
    <t xml:space="preserve">SET A  |  CPG multi brand</t>
  </si>
  <si>
    <t xml:space="preserve">Industry: Food &amp; Beverages, Consumer Goods, Consumer Products,
  Wine &amp; Spirits, Packaging &amp; Containers
Revenue: $250M - $10B
Employees: 500 - 10,000
Country: United States, United Kingdom
Keywords (company): "brands" OR "portfolio" OR "brand family"
Technologies: Salsify OR Syndigo OR Adobe Experience Manager OR Bynder
Titles: "Creative Operations" OR "Marketing Operations" OR "VP Brand" OR
  "Head of Brand" OR "Brand Marketing" OR "Integrated Marketing" OR
  "Shopper Marketing" OR "Trade Marketing" OR "Global Marketing" OR
  "Head of Content" OR "Chief Marketing Officer"
Seniority: Director, VP, Head, C-Suite
Contacts per account: 4</t>
  </si>
  <si>
    <t xml:space="preserve">SET B  |  Omnichannel retail and mass merchant</t>
  </si>
  <si>
    <t xml:space="preserve">Industry: Retail, Apparel &amp; Fashion, Supermarkets, Consumer Electronics,
  Furniture, Sporting Goods
Revenue: $500M - $20B
Employees: 1,000 - 50,000
Country: United States, United Kingdom
Keywords (company): "retail media" OR "stores" OR "omnichannel" OR "marketplace"
Technologies: Salesforce Commerce Cloud OR SAP Commerce OR Salsify OR
  Adobe Experience Manager OR Shopify Plus
Titles: "Retail Media" OR "VP E-commerce" OR "Head of E-commerce" OR
  "Creative Operations" OR "Digital Content" OR "VP Digital" OR
  "Marketing Operations" OR "VP Brand Marketing"
Seniority: Director, VP, Head, C-Suite
Contacts per account: 5</t>
  </si>
  <si>
    <t xml:space="preserve">SET C  |  Beauty, cosmetics, personal care</t>
  </si>
  <si>
    <t xml:space="preserve">Industry: Cosmetics, Personal Care &amp; Consumer Products,
  Health Wellness &amp; Fitness, Retail (beauty subcategory)
Revenue: $250M - $5B
Employees: 200 - 5,000
Country: United States, United Kingdom
Keywords (company): "beauty" OR "cosmetics" OR "skincare" OR "fragrance" OR
  "personal care"
Titles: "VP Brand" OR "Head of Brand" OR "VP Digital" OR "Head of Content" OR
  "Creative Operations" OR "VP E-commerce" OR "Global Marketing" OR
  "Head of Social" OR "Chief Marketing Officer"
Seniority: Director, VP, Head, C-Suite
Contacts per account: 4</t>
  </si>
  <si>
    <t xml:space="preserve">SET D  |  Fashion, apparel, footwear, accessories</t>
  </si>
  <si>
    <t xml:space="preserve">Industry: Apparel &amp; Fashion, Retail, Luxury Goods &amp; Jewelry, Textiles,
  Sporting Goods
Revenue: $250M - $5B
Employees: 200 - 10,000
Country: United States, United Kingdom
Technologies: Shopify Plus OR Salesforce Commerce Cloud OR Bynder OR
  Adobe Experience Manager OR Frame.io
Titles: "VP E-commerce" OR "Head of E-commerce" OR "Creative Operations" OR
  "Studio Director" OR "Head of Studio" OR "VP Brand" OR "Head of Content" OR
  "VP Digital" OR "Creative Director"
Seniority: Director, VP, Head, C-Suite
Contacts per account: 4</t>
  </si>
  <si>
    <t xml:space="preserve">SET E  |  QSR, fast casual, restaurants, franchise</t>
  </si>
  <si>
    <t xml:space="preserve">Industry: Restaurants, Food &amp; Beverages, Hospitality, Consumer Services
Revenue: $250M - $5B   [or system sales where reported]
Employees: 500 - 50,000
Country: United States
Keywords (company): "franchise" OR "franchisee" OR "locations" OR
  "restaurants" OR "quick service"
Titles: "Field Marketing" OR "Franchise Marketing" OR "Local Marketing" OR
  "VP Marketing" OR "VP Brand" OR "Chief Marketing Officer" OR
  "Creative Operations" OR "Head of Creative" OR "Regional Marketing"
Seniority: Director, VP, Head, C-Suite
Contacts per account: 4</t>
  </si>
  <si>
    <t xml:space="preserve">SET F  |  AI transformation, cross vertical  [HIGHEST REPLY RATE]</t>
  </si>
  <si>
    <t xml:space="preserve">Industry: [all Tier 1 and Tier 2 industries]
Revenue: $250M+
Titles: "Generative AI" OR "Head of AI" OR "Chief AI Officer" OR
  "Director of AI" OR "AI Product" OR "AI Program" OR "Innovation" OR
  "Emerging Technology" OR "Digital Transformation"
AND department contains: Marketing OR Brand OR Creative OR Digital
Seniority: Director, VP, Head, C-Suite
Contacts per account: 3, plus 2 from the marketing budget layer
NOTE: highest expected reply rate of any filter set in the model.
Overweight this. Send technical depth, not a deck. This persona
rarely holds budget, so always identify their economic buyer on call one.</t>
  </si>
  <si>
    <t xml:space="preserve">SET G  |  Recently funded  |  Crunchbase then Apollo</t>
  </si>
  <si>
    <t xml:space="preserve">CRUNCHBASE:
  Last funding amount: $20M+
  Last funding date: within trailing 18 months
  Funding stage: Series B, C, D, E, Growth
  Industry: Consumer Goods, E-commerce, Food &amp; Beverage, Beauty, Apparel,
    Consumer Health, Software (consumer facing only)
  Headquarters: United States, United Kingdom
  Employee count: 50+
  EXCLUDE: Crypto, Blockchain, Cannabis, Gambling, Defense
APOLLO, on the resulting company list:
  Titles: "Chief Marketing Officer" OR "VP Marketing" OR "Head of Brand" OR
    "Head of Content" OR "VP Growth" OR "Head of Creative"
  Contacts per account: 2
  CAP TOTAL AT 15 PERCENT OF ACTIVE COLD VOLUME</t>
  </si>
  <si>
    <t xml:space="preserve">SET H  |  PE portfolio consumer  |  dual track</t>
  </si>
  <si>
    <t xml:space="preserve">CRUNCHBASE or PITCHBOOK:
  Ownership: Private Equity backed
  Acquisition date: within trailing 24 months
  Industry: Consumer, Retail, Food &amp; Beverage, Beauty, Apparel,
    Restaurants, Consumer Health
  Revenue: $100M - $2B
APOLLO, portfolio company direct:
  Titles: "Chief Marketing Officer" OR "VP Marketing" OR "VP Brand" OR
    "Chief Financial Officer" OR "Creative Operations"
  Contacts per account: 3
PARALLEL SPONSOR MOTION  [higher leverage path]:
  Target consumer focused PE firms at operating partner level.
  Titles: "Operating Partner" OR "Operating Executive" OR
    "Head of Value Creation" OR "Portfolio Operations"
  One sponsor relationship can produce 4 to 8 portfolio conversations.</t>
  </si>
  <si>
    <t xml:space="preserve">TARGET ACCOUNT DEFINITION  |  master</t>
  </si>
  <si>
    <t xml:space="preserve">Industry: Retail, Consumer Goods, Food &amp; Beverages, Apparel &amp; Fashion,
  Cosmetics, Restaurants, Wine &amp; Spirits, Consumer Electronics, Hospitality,
  Health &amp; Wellness, Sporting Goods, Furniture, Luxury Goods
Revenue: $250M - $10B
Employees: 200 - 10,000
Country: United States, United Kingdom
Requires at least ONE of:
  3+ brands  |  500+ SKUs  |  100+ locations  |  5+ markets or languages
Requires: 50+ active creatives in Meta Ad Library
Plus all global exclusions above.</t>
  </si>
  <si>
    <t xml:space="preserve">TARGET CONTACT DEFINITION  |  master</t>
  </si>
  <si>
    <t xml:space="preserve">Titles containing: "Creative Operations" | "Marketing Operations" |
  "Content Operations" | "Studio" | "Production" | "VP Brand" |
  "Head of Brand" | "Brand Marketing" | "Integrated Marketing" |
  "Global Marketing" | "VP E-commerce" | "Head of E-commerce" |
  "Retail Media" | "VP Digital" | "Performance Marketing" |
  "Generative AI" | "Head of AI" | "Innovation" | "Emerging Technology" |
  "Field Marketing" | "Franchise Marketing" | "Shopper Marketing" |
  "Chief Marketing Officer" | "Chief Brand Officer" | "Chief Digital Officer"
Seniority: Director, Head, VP, SVP, C-Suite
Department: Marketing, Creative, E-commerce, Digital, Innovation
EXCLUDE department: Legal, Finance, Human Resources, Information Security,
  Engineering, Sales
Email status: Verified only
Contacts per account: 2 for Tier 3, 4 to 6 for Tier 2, 5 to 8 for Tier 1</t>
  </si>
  <si>
    <t xml:space="preserve">HUBSPOT PROPERTY MAP  |  PORTAL 242560356</t>
  </si>
  <si>
    <t xml:space="preserve">Create these properties before importing. Owner ID 79447606. Human in the loop approval required before any writeback to live records. Properties marked P0 or P1 are the ones that gate outbound and must exist before the first send.</t>
  </si>
  <si>
    <t xml:space="preserve">Workbook column</t>
  </si>
  <si>
    <t xml:space="preserve">HubSpot property</t>
  </si>
  <si>
    <t xml:space="preserve">Object</t>
  </si>
  <si>
    <t xml:space="preserve">Type</t>
  </si>
  <si>
    <t xml:space="preserve">Allowed values / formula</t>
  </si>
  <si>
    <t xml:space="preserve">Required</t>
  </si>
  <si>
    <t xml:space="preserve">Priority</t>
  </si>
  <si>
    <t xml:space="preserve">name</t>
  </si>
  <si>
    <t xml:space="preserve">Text</t>
  </si>
  <si>
    <t xml:space="preserve">Yes</t>
  </si>
  <si>
    <t xml:space="preserve">P0</t>
  </si>
  <si>
    <t xml:space="preserve">subindustry</t>
  </si>
  <si>
    <t xml:space="preserve">Dropdown</t>
  </si>
  <si>
    <t xml:space="preserve">38 values from Playbook Section 3.1</t>
  </si>
  <si>
    <t xml:space="preserve">(derived)</t>
  </si>
  <si>
    <t xml:space="preserve">industry_tier</t>
  </si>
  <si>
    <t xml:space="preserve">Tier 1 / Tier 2 / Tier 3 / Tier 4</t>
  </si>
  <si>
    <t xml:space="preserve">revenue_band</t>
  </si>
  <si>
    <t xml:space="preserve">9 bands from Playbook Section 2.A</t>
  </si>
  <si>
    <t xml:space="preserve">(from Apollo)</t>
  </si>
  <si>
    <t xml:space="preserve">annualrevenue</t>
  </si>
  <si>
    <t xml:space="preserve">Number, currency</t>
  </si>
  <si>
    <t xml:space="preserve">Actual or estimate</t>
  </si>
  <si>
    <t xml:space="preserve">hq_state / hq_country</t>
  </si>
  <si>
    <t xml:space="preserve">Standard</t>
  </si>
  <si>
    <t xml:space="preserve">P1</t>
  </si>
  <si>
    <t xml:space="preserve">ownership_type</t>
  </si>
  <si>
    <t xml:space="preserve">Public / Private / PE backed / VC backed / Family owned / Subsidiary / Franchise / Holding co</t>
  </si>
  <si>
    <t xml:space="preserve">account_segment</t>
  </si>
  <si>
    <t xml:space="preserve">MULTI select</t>
  </si>
  <si>
    <t xml:space="preserve">S1 through S14</t>
  </si>
  <si>
    <t xml:space="preserve">Primary Multiplier</t>
  </si>
  <si>
    <t xml:space="preserve">primary_multiplier</t>
  </si>
  <si>
    <t xml:space="preserve">Text, multi line</t>
  </si>
  <si>
    <t xml:space="preserve">Free text with source noted</t>
  </si>
  <si>
    <t xml:space="preserve">No</t>
  </si>
  <si>
    <t xml:space="preserve">P2</t>
  </si>
  <si>
    <t xml:space="preserve">Brands count</t>
  </si>
  <si>
    <t xml:space="preserve">brand_count</t>
  </si>
  <si>
    <t xml:space="preserve">Number</t>
  </si>
  <si>
    <t xml:space="preserve">Integer</t>
  </si>
  <si>
    <t xml:space="preserve">Yes for CPG and multi brand</t>
  </si>
  <si>
    <t xml:space="preserve">SKU count</t>
  </si>
  <si>
    <t xml:space="preserve">sku_count_estimate</t>
  </si>
  <si>
    <t xml:space="preserve">Yes for retail, CPG, fashion, beauty</t>
  </si>
  <si>
    <t xml:space="preserve">Markets count</t>
  </si>
  <si>
    <t xml:space="preserve">market_count</t>
  </si>
  <si>
    <t xml:space="preserve">Locations count</t>
  </si>
  <si>
    <t xml:space="preserve">location_count</t>
  </si>
  <si>
    <t xml:space="preserve">Yes for franchise and multi unit</t>
  </si>
  <si>
    <t xml:space="preserve">expansion_vector_count</t>
  </si>
  <si>
    <t xml:space="preserve">brands + markets + channels + categories</t>
  </si>
  <si>
    <t xml:space="preserve">Media /6 input</t>
  </si>
  <si>
    <t xml:space="preserve">active_meta_creatives</t>
  </si>
  <si>
    <t xml:space="preserve">Integer. Source: Meta Ad Library</t>
  </si>
  <si>
    <t xml:space="preserve">Spend /8 input</t>
  </si>
  <si>
    <t xml:space="preserve">marketing_spend_estimate</t>
  </si>
  <si>
    <t xml:space="preserve">EDGAR advertising expense or estimate</t>
  </si>
  <si>
    <t xml:space="preserve">AI /8 input</t>
  </si>
  <si>
    <t xml:space="preserve">ai_maturity_stage</t>
  </si>
  <si>
    <t xml:space="preserve">1 through 8, Playbook Section 12</t>
  </si>
  <si>
    <t xml:space="preserve">Tech /5 input</t>
  </si>
  <si>
    <t xml:space="preserve">technology_stack</t>
  </si>
  <si>
    <t xml:space="preserve">Multi select</t>
  </si>
  <si>
    <t xml:space="preserve">DAM / PIM / CMS / commerce / CDP / creative automation / gen AI tools</t>
  </si>
  <si>
    <t xml:space="preserve">tech_signature_score</t>
  </si>
  <si>
    <t xml:space="preserve">0 to 5, calculated</t>
  </si>
  <si>
    <t xml:space="preserve">Trigger Hypothesis</t>
  </si>
  <si>
    <t xml:space="preserve">active_triggers</t>
  </si>
  <si>
    <t xml:space="preserve">Trigger taxonomy from Playbook Section 9</t>
  </si>
  <si>
    <t xml:space="preserve">(on detection)</t>
  </si>
  <si>
    <t xml:space="preserve">trigger_last_detected</t>
  </si>
  <si>
    <t xml:space="preserve">Date</t>
  </si>
  <si>
    <t xml:space="preserve">icp_fit_score</t>
  </si>
  <si>
    <t xml:space="preserve">0 to 100</t>
  </si>
  <si>
    <t xml:space="preserve">account_tier</t>
  </si>
  <si>
    <t xml:space="preserve">Tier 1 Named / Tier 2 Priority / Tier 3 Volume / Nurture / Disqualified</t>
  </si>
  <si>
    <t xml:space="preserve">(external calc)</t>
  </si>
  <si>
    <t xml:space="preserve">intent_score</t>
  </si>
  <si>
    <t xml:space="preserve">0 to 50, time decayed. Recompute WEEKLY in CLAW/SAGE Postgres</t>
  </si>
  <si>
    <t xml:space="preserve">(manual)</t>
  </si>
  <si>
    <t xml:space="preserve">relationship_score</t>
  </si>
  <si>
    <t xml:space="preserve">0 to 25</t>
  </si>
  <si>
    <t xml:space="preserve">opportunity_score</t>
  </si>
  <si>
    <t xml:space="preserve">total_priority_score</t>
  </si>
  <si>
    <t xml:space="preserve">(FIT x .45)+(INTENT x .25)+(RELATION x .10)+(OPPTY x .20)</t>
  </si>
  <si>
    <t xml:space="preserve">(gate)</t>
  </si>
  <si>
    <t xml:space="preserve">outbound_eligible</t>
  </si>
  <si>
    <t xml:space="preserve">Boolean</t>
  </si>
  <si>
    <t xml:space="preserve">True when icp_fit_score &gt;= 45 and not suppressed. GATES APOLLO ENROLMENT</t>
  </si>
  <si>
    <t xml:space="preserve">warm_only</t>
  </si>
  <si>
    <t xml:space="preserve">True when relationship_score &gt;= 15. BLOCKS COLD SEQUENCES</t>
  </si>
  <si>
    <t xml:space="preserve">(on DQ)</t>
  </si>
  <si>
    <t xml:space="preserve">disqualification_reason</t>
  </si>
  <si>
    <t xml:space="preserve">Categories from Playbook Section 14. REQUIRED when disqualified</t>
  </si>
  <si>
    <t xml:space="preserve">Yes when DQ</t>
  </si>
  <si>
    <t xml:space="preserve">primary_use_case</t>
  </si>
  <si>
    <t xml:space="preserve">Deal</t>
  </si>
  <si>
    <t xml:space="preserve">28 use cases from Playbook Section 5.1</t>
  </si>
  <si>
    <t xml:space="preserve">amount</t>
  </si>
  <si>
    <t xml:space="preserve">From the Silverside Credit System only, never this estimate</t>
  </si>
  <si>
    <t xml:space="preserve">(at creation)</t>
  </si>
  <si>
    <t xml:space="preserve">deal_attribution</t>
  </si>
  <si>
    <t xml:space="preserve">Engine (= cold outbound via CLAW/SAGE) / Inbound / Partner / Referral / Network / Expansion</t>
  </si>
  <si>
    <t xml:space="preserve">jobtitle</t>
  </si>
  <si>
    <t xml:space="preserve">Contact</t>
  </si>
  <si>
    <t xml:space="preserve">Verified title</t>
  </si>
  <si>
    <t xml:space="preserve">title_category</t>
  </si>
  <si>
    <t xml:space="preserve">11 categories from Playbook Section 22.2</t>
  </si>
  <si>
    <t xml:space="preserve">persona</t>
  </si>
  <si>
    <t xml:space="preserve">P1 through P7 from Playbook Section 6</t>
  </si>
  <si>
    <t xml:space="preserve">(calc)</t>
  </si>
  <si>
    <t xml:space="preserve">contact_score</t>
  </si>
  <si>
    <t xml:space="preserve">0 to 50, Playbook Section 17.1</t>
  </si>
  <si>
    <t xml:space="preserve">contact_priority</t>
  </si>
  <si>
    <t xml:space="preserve">Primary / Strong / Supporting / Backup / Do not contact</t>
  </si>
  <si>
    <t xml:space="preserve">outbound_channel</t>
  </si>
  <si>
    <t xml:space="preserve">Apollo cold / HubSpot warm / Do not contact. ENFORCES COLD-WARM SEPARATION</t>
  </si>
  <si>
    <t xml:space="preserve">(from LinkedIn)</t>
  </si>
  <si>
    <t xml:space="preserve">months_in_role</t>
  </si>
  <si>
    <t xml:space="preserve">Integer. Score 3 to 9 months highest</t>
  </si>
  <si>
    <t xml:space="preserve">Red rows are P0. These gate outbound and must exist before the first send.</t>
  </si>
  <si>
    <t xml:space="preserve">SUPPRESSION LIST  |  DO NOT COLD EMAIL</t>
  </si>
  <si>
    <t xml:space="preserve">Load into Apollo as a suppressed account list before any send. These are current clients, active pursuits, or approved reference accounts. Any contact at these companies routes to HubSpot warm, never to an Apollo cousin domain sequence. Add to this list as new accounts land.</t>
  </si>
  <si>
    <t xml:space="preserve">Account</t>
  </si>
  <si>
    <t xml:space="preserve">Status</t>
  </si>
  <si>
    <t xml:space="preserve">Route</t>
  </si>
  <si>
    <t xml:space="preserve">Note</t>
  </si>
  <si>
    <t xml:space="preserve">Sam's Club / Walmart</t>
  </si>
  <si>
    <t xml:space="preserve">Live client. ISB retainer, Phase 2 open</t>
  </si>
  <si>
    <t xml:space="preserve">HubSpot warm. Expansion motion</t>
  </si>
  <si>
    <t xml:space="preserve">Bentonville visit in planning. Approved cold reference</t>
  </si>
  <si>
    <t xml:space="preserve">Amazon / Amazon Ads</t>
  </si>
  <si>
    <t xml:space="preserve">Live or prior client</t>
  </si>
  <si>
    <t xml:space="preserve">Marketplace and retail media</t>
  </si>
  <si>
    <t xml:space="preserve">Approved cold reference</t>
  </si>
  <si>
    <t xml:space="preserve">Client</t>
  </si>
  <si>
    <t xml:space="preserve">CPG beverage</t>
  </si>
  <si>
    <t xml:space="preserve">HubSpot warm</t>
  </si>
  <si>
    <t xml:space="preserve">Sephora / LVMH</t>
  </si>
  <si>
    <t xml:space="preserve">Beauty retail</t>
  </si>
  <si>
    <t xml:space="preserve">HubSpot warm. LATERAL EXPANSION PRIORITY</t>
  </si>
  <si>
    <t xml:space="preserve">Approved cold reference. Other LVMH maisons are a warm intro path, never cold</t>
  </si>
  <si>
    <t xml:space="preserve">Marc Jacobs</t>
  </si>
  <si>
    <t xml:space="preserve">Client. In commission attribution scope</t>
  </si>
  <si>
    <t xml:space="preserve">Fashion</t>
  </si>
  <si>
    <t xml:space="preserve">LVMH orbit. Approved cold reference</t>
  </si>
  <si>
    <t xml:space="preserve">Benefit Cosmetics</t>
  </si>
  <si>
    <t xml:space="preserve">Beauty</t>
  </si>
  <si>
    <t xml:space="preserve">LVMH orbit</t>
  </si>
  <si>
    <t xml:space="preserve">IHG</t>
  </si>
  <si>
    <t xml:space="preserve">Client. Two SOWs closed</t>
  </si>
  <si>
    <t xml:space="preserve">Competitor conflict check applies to Choice, Wyndham, Hyatt</t>
  </si>
  <si>
    <t xml:space="preserve">Keurig Dr Pepper</t>
  </si>
  <si>
    <t xml:space="preserve">Active pursuit. POC in development</t>
  </si>
  <si>
    <t xml:space="preserve">HubSpot warm. High priority</t>
  </si>
  <si>
    <t xml:space="preserve">A&amp;W sizzle plus second soda brand track</t>
  </si>
  <si>
    <t xml:space="preserve">Mattress Firm</t>
  </si>
  <si>
    <t xml:space="preserve">Active pursuit. Qualified to Buy, $75K</t>
  </si>
  <si>
    <t xml:space="preserve">Retail</t>
  </si>
  <si>
    <t xml:space="preserve">Chasing Tom Murray commitments</t>
  </si>
  <si>
    <t xml:space="preserve">Carlsberg</t>
  </si>
  <si>
    <t xml:space="preserve">Active pursuit. NDA executed</t>
  </si>
  <si>
    <t xml:space="preserve">Cold outbound sourced. Scoping underway</t>
  </si>
  <si>
    <t xml:space="preserve">ResMed</t>
  </si>
  <si>
    <t xml:space="preserve">Active pursuit. TVC proposal</t>
  </si>
  <si>
    <t xml:space="preserve">Medical device</t>
  </si>
  <si>
    <t xml:space="preserve">Directly relevant precedent for Dexcom and iRhythm</t>
  </si>
  <si>
    <t xml:space="preserve">Medical Guardian</t>
  </si>
  <si>
    <t xml:space="preserve">Active pursuit. Brand Brain demo done</t>
  </si>
  <si>
    <t xml:space="preserve">Consumer health</t>
  </si>
  <si>
    <t xml:space="preserve">Commercial conversation in progress</t>
  </si>
  <si>
    <t xml:space="preserve">Nacelle</t>
  </si>
  <si>
    <t xml:space="preserve">Active negotiation. Animation retainer</t>
  </si>
  <si>
    <t xml:space="preserve">Media and entertainment IP</t>
  </si>
  <si>
    <t xml:space="preserve">iKHOR Labs tool partnership adjacent</t>
  </si>
  <si>
    <t xml:space="preserve">Smoothie King</t>
  </si>
  <si>
    <t xml:space="preserve">Active pursuit. ~$2.46M proposed</t>
  </si>
  <si>
    <t xml:space="preserve">QSR franchise</t>
  </si>
  <si>
    <t xml:space="preserve">CONFLICT: GoTo Foods owns Jamba. Clear before GoTo outreach</t>
  </si>
  <si>
    <t xml:space="preserve">Kura Sushi</t>
  </si>
  <si>
    <t xml:space="preserve">Prior pursuit</t>
  </si>
  <si>
    <t xml:space="preserve">Restaurants</t>
  </si>
  <si>
    <t xml:space="preserve">PoC framing developed</t>
  </si>
  <si>
    <t xml:space="preserve">Supersure</t>
  </si>
  <si>
    <t xml:space="preserve">Client. $1.08M retainer</t>
  </si>
  <si>
    <t xml:space="preserve">Services</t>
  </si>
  <si>
    <t xml:space="preserve">Legal work ongoing on contract</t>
  </si>
  <si>
    <t xml:space="preserve">Chime</t>
  </si>
  <si>
    <t xml:space="preserve">Client. $146K AI TVC</t>
  </si>
  <si>
    <t xml:space="preserve">Consumer fintech</t>
  </si>
  <si>
    <t xml:space="preserve">The Financial Services Rule exception case</t>
  </si>
  <si>
    <t xml:space="preserve">OnePay</t>
  </si>
  <si>
    <t xml:space="preserve">Client or prior pursuit</t>
  </si>
  <si>
    <t xml:space="preserve">Direct outreach sourced</t>
  </si>
  <si>
    <t xml:space="preserve">Williams Sonoma</t>
  </si>
  <si>
    <t xml:space="preserve">Retail home</t>
  </si>
  <si>
    <t xml:space="preserve">BMW</t>
  </si>
  <si>
    <t xml:space="preserve">PacSun</t>
  </si>
  <si>
    <t xml:space="preserve">Fashion retail</t>
  </si>
  <si>
    <t xml:space="preserve">Quay</t>
  </si>
  <si>
    <t xml:space="preserve">Eyewear and accessories</t>
  </si>
  <si>
    <t xml:space="preserve">SimpliSafe</t>
  </si>
  <si>
    <t xml:space="preserve">Consumer home safety</t>
  </si>
  <si>
    <t xml:space="preserve">CyberArk</t>
  </si>
  <si>
    <t xml:space="preserve">B2B software</t>
  </si>
  <si>
    <t xml:space="preserve">Headline</t>
  </si>
  <si>
    <t xml:space="preserve">Venture capital</t>
  </si>
  <si>
    <t xml:space="preserve">Svedka / Sazerac</t>
  </si>
  <si>
    <t xml:space="preserve">Spirits</t>
  </si>
  <si>
    <t xml:space="preserve">Panasonic</t>
  </si>
  <si>
    <t xml:space="preserve">Goodwill</t>
  </si>
  <si>
    <t xml:space="preserve">Nonprofit retail</t>
  </si>
  <si>
    <t xml:space="preserve">Adobe</t>
  </si>
  <si>
    <t xml:space="preserve">Boilerplate named client</t>
  </si>
  <si>
    <t xml:space="preserve">Software</t>
  </si>
  <si>
    <t xml:space="preserve">Boilerplate only. NOT on the approved cold reference list</t>
  </si>
  <si>
    <t xml:space="preserve">Fifth Third Bank</t>
  </si>
  <si>
    <t xml:space="preserve">Financial services</t>
  </si>
  <si>
    <t xml:space="preserve">Toptal</t>
  </si>
  <si>
    <t xml:space="preserve">Prior proposal, $75K</t>
  </si>
  <si>
    <t xml:space="preserve">B2B marketplace</t>
  </si>
  <si>
    <t xml:space="preserve">Train concept proposal</t>
  </si>
  <si>
    <t xml:space="preserve">MediaSense</t>
  </si>
  <si>
    <t xml:space="preserve">Inbound inquiry</t>
  </si>
  <si>
    <t xml:space="preserve">Consultancy</t>
  </si>
  <si>
    <t xml:space="preserve">Credentials response prepared</t>
  </si>
  <si>
    <t xml:space="preserve">Hershey / Reese's</t>
  </si>
  <si>
    <t xml:space="preserve">AMBIGUOUS. Verify status with Sam</t>
  </si>
  <si>
    <t xml:space="preserve">CPG confection</t>
  </si>
  <si>
    <t xml:space="preserve">HOLD</t>
  </si>
  <si>
    <t xml:space="preserve">Referenced as a proof point in a KDP conversation. Confirm before any outreach</t>
  </si>
  <si>
    <t xml:space="preserve">Nestle brands referenced in past decks</t>
  </si>
  <si>
    <t xml:space="preserve">AMBIGUOUS. Verify</t>
  </si>
  <si>
    <t xml:space="preserve">CPG</t>
  </si>
  <si>
    <t xml:space="preserve">Confirm with Sam before adding to any sequence</t>
  </si>
  <si>
    <t xml:space="preserve">Pereira O'Dell client roster</t>
  </si>
  <si>
    <t xml:space="preserve">Channel conflict risk</t>
  </si>
  <si>
    <t xml:space="preserve">All</t>
  </si>
  <si>
    <t xml:space="preserve">HOLD. Route via Rob</t>
  </si>
  <si>
    <t xml:space="preserve">Pull the current PO'D active client list and suppress it</t>
  </si>
  <si>
    <t xml:space="preserve">Serviceplan Group client roster</t>
  </si>
  <si>
    <t xml:space="preserve">Pull the current Serviceplan active client list and suppress it</t>
  </si>
  <si>
    <t xml:space="preserve">ACTION REQUIRED: pull the current Pereira O'Dell and Serviceplan Group active client lists from Rob and add them to this suppression list before the first send. Channel conflict inside the parent and investor group is the highest reputational risk in the whole outbound program.</t>
  </si>
  <si>
    <t xml:space="preserve">90 DAY OUTBOUND LAUNCH PLAN</t>
  </si>
  <si>
    <t xml:space="preserve">Wave assignments on the Top 100 tab map to this plan. Do not increase send volume until OAuth reply tracking is verified working.</t>
  </si>
  <si>
    <t xml:space="preserve">Week</t>
  </si>
  <si>
    <t xml:space="preserve">Action</t>
  </si>
  <si>
    <t xml:space="preserve">Owner</t>
  </si>
  <si>
    <t xml:space="preserve">Success measure</t>
  </si>
  <si>
    <t xml:space="preserve">Blocks what</t>
  </si>
  <si>
    <t xml:space="preserve">1 to 2</t>
  </si>
  <si>
    <t xml:space="preserve">FIX INFRASTRUCTURE. OAuth email connection replacing SMTP. Migrate all cold sequences to Apollo cousin domains. Remediate the 112 staged CLAW drafts to the four approved metrics. Suppress notes_last_contacted from all list logic</t>
  </si>
  <si>
    <t xml:space="preserve">Sam plus RevOps</t>
  </si>
  <si>
    <t xml:space="preserve">Bounce rate under 2 percent. Reply tracking verified functional on a live test</t>
  </si>
  <si>
    <t xml:space="preserve">EVERYTHING. Do not send volume before this</t>
  </si>
  <si>
    <t xml:space="preserve">Build the HubSpot property schema. All P0 rows on the HubSpot Import Map tab. Backfill industry_tier, subindustry, revenue_band across the existing database</t>
  </si>
  <si>
    <t xml:space="preserve">RevOps</t>
  </si>
  <si>
    <t xml:space="preserve">Schema live. Existing records classified</t>
  </si>
  <si>
    <t xml:space="preserve">Scoring, gating, reporting</t>
  </si>
  <si>
    <t xml:space="preserve">PURGE TIER 4 from all active sequences. Reclassify the Financial Services 36 percent against the Financial Services Rule. Load the Suppression List tab into Apollo</t>
  </si>
  <si>
    <t xml:space="preserve">Sam plus Marius</t>
  </si>
  <si>
    <t xml:space="preserve">Tier 4 at 0 percent of active cold volume. Suppression list live</t>
  </si>
  <si>
    <t xml:space="preserve">List integrity</t>
  </si>
  <si>
    <t xml:space="preserve">Pull the Pereira O'Dell and Serviceplan active client lists from Rob. Add to suppression</t>
  </si>
  <si>
    <t xml:space="preserve">Sam</t>
  </si>
  <si>
    <t xml:space="preserve">Channel conflict risk closed</t>
  </si>
  <si>
    <t xml:space="preserve">First send</t>
  </si>
  <si>
    <t xml:space="preserve">3 to 4</t>
  </si>
  <si>
    <t xml:space="preserve">Score the existing HubSpot database on FIT. Drop everything under 45 to nurture. Do not enrich anything under 45</t>
  </si>
  <si>
    <t xml:space="preserve">Clean tiered universe with a documented drop count</t>
  </si>
  <si>
    <t xml:space="preserve">Enrichment spend efficiency</t>
  </si>
  <si>
    <t xml:space="preserve">3 to 5</t>
  </si>
  <si>
    <t xml:space="preserve">Load Wave 1 accounts from the Top 100 tab into Apollo. Enrich the yellow columns: AI maturity and tech signature. Rescore. Pull contacts per the tier mix. Verify every email</t>
  </si>
  <si>
    <t xml:space="preserve">Marius plus Sam</t>
  </si>
  <si>
    <t xml:space="preserve">400 to 600 verified contacts staged, all FIT rescored post enrichment</t>
  </si>
  <si>
    <t xml:space="preserve">Sequence launch</t>
  </si>
  <si>
    <t xml:space="preserve">Work the 1,000 contact prioritized repliers and clickers list in parallel with net new. These are the highest intent contacts already in the system</t>
  </si>
  <si>
    <t xml:space="preserve">30 or more conversations opened from existing intent</t>
  </si>
  <si>
    <t xml:space="preserve">Nothing. Run concurrently</t>
  </si>
  <si>
    <t xml:space="preserve">Launch the five vertical sequences: CPG long tail, retail SKU arithmetic, beauty and fashion variant arithmetic, QSR franchise backlog, AI transformation</t>
  </si>
  <si>
    <t xml:space="preserve">5 sequences live, 40 or more contacts each, human approved</t>
  </si>
  <si>
    <t xml:space="preserve">Measurement baseline</t>
  </si>
  <si>
    <t xml:space="preserve">6 to 8</t>
  </si>
  <si>
    <t xml:space="preserve">Launch Filter Set F, AI transformation, across all Tier 1 and Tier 2 verticals. Highest expected reply rate in the model</t>
  </si>
  <si>
    <t xml:space="preserve">Marius</t>
  </si>
  <si>
    <t xml:space="preserve">60 or more contacts. Reply rate benchmarked against the vertical sequences</t>
  </si>
  <si>
    <t xml:space="preserve">Model validation</t>
  </si>
  <si>
    <t xml:space="preserve">8 to 10</t>
  </si>
  <si>
    <t xml:space="preserve">Stand up trigger monitoring: executive change alerts, job posting monitors, funding alerts, agency review alerts</t>
  </si>
  <si>
    <t xml:space="preserve">Triggers detected within 7 days of occurrence</t>
  </si>
  <si>
    <t xml:space="preserve">INTENT scoring accuracy</t>
  </si>
  <si>
    <t xml:space="preserve">8 to 12</t>
  </si>
  <si>
    <t xml:space="preserve">Launch the PE sponsor motion. Target 5 consumer focused sponsors at operating partner level</t>
  </si>
  <si>
    <t xml:space="preserve">3 or more sponsor conversations opened</t>
  </si>
  <si>
    <t xml:space="preserve">Portfolio leverage</t>
  </si>
  <si>
    <t xml:space="preserve">10 to 12</t>
  </si>
  <si>
    <t xml:space="preserve">FIRST ICP PERFORMANCE REVIEW. Reply, meeting and close rate by tier, segment, vertical, persona and trigger. Reweight the scoring model against actual data</t>
  </si>
  <si>
    <t xml:space="preserve">Model v2 with empirically reweighted categories. Answer the 10 open questions in the Playbook appendix</t>
  </si>
  <si>
    <t xml:space="preserve">Everything after day 90</t>
  </si>
  <si>
    <t xml:space="preserve">Ongoing</t>
  </si>
  <si>
    <t xml:space="preserve">Human in the loop approval on every send. Cousin domains only. Approved metrics only. Approved cold references only</t>
  </si>
  <si>
    <t xml:space="preserve">100 percent compliance</t>
  </si>
  <si>
    <t xml:space="preserve">Legal and reputational exposure</t>
  </si>
  <si>
    <t xml:space="preserve">METHOD, EVIDENCE CLASS AND CAVEATS</t>
  </si>
  <si>
    <t xml:space="preserve">Item</t>
  </si>
  <si>
    <t xml:space="preserve">Detail</t>
  </si>
  <si>
    <t xml:space="preserve">How the 100 were selected</t>
  </si>
  <si>
    <t xml:space="preserve">Filtered to the Tier 1 and Tier 2 verticals in Playbook Section 3, then to the $250M to $10B revenue corridor, then required at least one verifiable content multiplier: 3+ brands, 500+ SKUs, 100+ locations, or 5+ markets. Existing clients, active pursuits, and approved reference accounts were excluded to the Suppression List tab.</t>
  </si>
  <si>
    <t xml:space="preserve">Verified facts</t>
  </si>
  <si>
    <t xml:space="preserve">Company name, industry, headquarters, ownership type, brand and portfolio structure, and location or SKU scale where publicly observable. These are drawn from public company structure and are stable.</t>
  </si>
  <si>
    <t xml:space="preserve">Estimates</t>
  </si>
  <si>
    <t xml:space="preserve">Revenue bands, marketing spend, content volume, active creative counts, and SKU counts for private companies. Every score column except Industry is an estimate. Treat the FIT score as a starting hypothesis, not a finding.</t>
  </si>
  <si>
    <t xml:space="preserve">Explicitly unverified</t>
  </si>
  <si>
    <t xml:space="preserve">AI maturity /8 is set to 5 and Tech signature /5 is set to 2 on every single row. These are placeholders, not assessments. Enriching them typically moves a FIT score up by 5 to 11 points, which can promote an account by a full tier.</t>
  </si>
  <si>
    <t xml:space="preserve">What is NOT asserted</t>
  </si>
  <si>
    <t xml:space="preserve">No account on this list is claimed to have a specific problem. The Fit Rationale column describes structural characteristics that make a problem likely. The Verification Required column names exactly what must be confirmed before a send.</t>
  </si>
  <si>
    <t xml:space="preserve">Deliberate exclusion: financial services</t>
  </si>
  <si>
    <t xml:space="preserve">Zero financial services accounts appear on this list. The outbound audit found Financial Services at 36 percent of targeting volume, which is the single largest misallocation in the current program. Consumer fintech re enters the universe only under the Financial Services Rule in Playbook Section 3.2: consumer brand advertising behaviour, 50+ active Meta creatives, and a CMO owning working media.</t>
  </si>
  <si>
    <t xml:space="preserve">Deliberate exclusion: B2B SaaS and pharma</t>
  </si>
  <si>
    <t xml:space="preserve">Both are Tier 3 or Tier 4. Silverside can deliver in both, evidenced by CyberArk and consumer health work, but content multiplication is structurally lower and cycle length is longer. Pursue only on a specific strong trigger, never from a standing sequence.</t>
  </si>
  <si>
    <t xml:space="preserve">Competitor conflict flags</t>
  </si>
  <si>
    <t xml:space="preserve">Choice Hotels, Wyndham and Hyatt compete with IHG. GoTo Foods owns Jamba, which competes with Smoothie King. These are flagged, not removed, because they are genuinely strong targets. Clear each with Sam before outreach.</t>
  </si>
  <si>
    <t xml:space="preserve">Deal size estimates</t>
  </si>
  <si>
    <t xml:space="preserve">Planning inputs for pipeline modelling only. Any client facing number must be built through the Silverside Credit System at $112.50 to $135 per credit via the pricing skill, mapped to the Foundation through Transformation retainer tiers.</t>
  </si>
  <si>
    <t xml:space="preserve">Reference client discipline</t>
  </si>
  <si>
    <t xml:space="preserve">The Reference to Cite column uses only the 15 approved cold outbound reference clients. Adobe, Fifth Third Bank and the broader boilerplate client list are approved for RFPs, credentials responses and SOW company overviews, not for cold email.</t>
  </si>
  <si>
    <t xml:space="preserve">Metric discipline</t>
  </si>
  <si>
    <t xml:space="preserve">Only four metrics may appear in cold outbound: 68 percent cost reduction, 87.5 percent time reduction, 20x content volume, 7 billion impressions. The claim_verifier.py allowlist gate enforces this. 112 staged CLAW drafts are currently blocked on unapproved metrics and must be remediated before release.</t>
  </si>
  <si>
    <t xml:space="preserve">Geographic constraint</t>
  </si>
  <si>
    <t xml:space="preserve">No cold sequences into Germany or France. Serviceplan partner led only. Canada requires CASL review before any send, which affects Savers Value Village and Bausch + Lomb specifically.</t>
  </si>
  <si>
    <t xml:space="preserve">What would change this list</t>
  </si>
  <si>
    <t xml:space="preserve">Ten open questions are listed in the Playbook appendix. The three that would most change these rankings are: actual win rate by industry tier from closed deal history, actual reply rate by persona once OAuth is live, and whether AI maturity stage predicts close rate better than industry or revenue.</t>
  </si>
  <si>
    <t xml:space="preserve">Refresh cadence</t>
  </si>
  <si>
    <t xml:space="preserve">Rescore FIT quarterly or on a material event. Recompute INTENT weekly, since intent is perishable. Rebuild the account universe every 6 months.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</si>
</sst>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8"/>
      <color rgb="FF555555"/>
      <name val="Arial"/>
      <family val="0"/>
      <charset val="1"/>
    </font>
    <font>
      <b val="true"/>
      <sz val="9"/>
      <color rgb="FFFFFFFF"/>
      <name val="Arial"/>
      <family val="0"/>
      <charset val="1"/>
    </font>
    <font>
      <sz val="9"/>
      <name val="Arial"/>
      <family val="0"/>
      <charset val="1"/>
    </font>
    <font>
      <b val="true"/>
      <sz val="9"/>
      <name val="Arial"/>
      <family val="0"/>
      <charset val="1"/>
    </font>
    <font>
      <sz val="9"/>
      <name val="Consolas"/>
      <family val="0"/>
      <charset val="1"/>
    </font>
  </fonts>
  <fills count="7">
    <fill>
      <patternFill patternType="none"/>
    </fill>
    <fill>
      <patternFill patternType="gray125"/>
    </fill>
    <fill>
      <patternFill patternType="solid">
        <fgColor rgb="FF1F2A44"/>
        <bgColor rgb="FF003366"/>
      </patternFill>
    </fill>
    <fill>
      <patternFill patternType="solid">
        <fgColor rgb="FFFFF2CC"/>
        <bgColor rgb="FFFCE4E4"/>
      </patternFill>
    </fill>
    <fill>
      <patternFill patternType="solid">
        <fgColor rgb="FFC9D6E8"/>
        <bgColor rgb="FFBFBFBF"/>
      </patternFill>
    </fill>
    <fill>
      <patternFill patternType="solid">
        <fgColor rgb="FFFCE4E4"/>
        <bgColor rgb="FFFFF2CC"/>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2A4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C9D6E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9D6E8"/>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42"/>
    <col collapsed="false" customWidth="true" hidden="false" outlineLevel="0" max="9" min="9" style="0" width="62"/>
    <col collapsed="false" customWidth="true" hidden="false" outlineLevel="0" max="10" min="10" style="0" width="30"/>
    <col collapsed="false" customWidth="true" hidden="false" outlineLevel="0" max="11" min="11" style="0" width="16"/>
    <col collapsed="false" customWidth="true" hidden="false" outlineLevel="0" max="12" min="12" style="0" width="34"/>
    <col collapsed="false" customWidth="true" hidden="false" outlineLevel="0" max="13" min="13" style="0" width="42"/>
    <col collapsed="false" customWidth="true" hidden="false" outlineLevel="0" max="14" min="14" style="0" width="46"/>
    <col collapsed="false" customWidth="true" hidden="false" outlineLevel="0" max="15" min="15" style="0" width="26"/>
    <col collapsed="false" customWidth="true" hidden="false" outlineLevel="0" max="29" min="16" style="0" width="7"/>
    <col collapsed="false" customWidth="true" hidden="false" outlineLevel="0" max="30" min="30" style="0" width="11"/>
    <col collapsed="false" customWidth="true" hidden="false" outlineLevel="0" max="31" min="31" style="0" width="16"/>
    <col collapsed="false" customWidth="true" hidden="false" outlineLevel="0" max="32" min="32" style="0" width="7"/>
    <col collapsed="false" customWidth="true" hidden="false" outlineLevel="0" max="33" min="33" style="0" width="40"/>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4" customFormat="false" ht="39.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row>
    <row r="5" customFormat="false" ht="91.5" hidden="false" customHeight="true" outlineLevel="0" collapsed="false">
      <c r="A5" s="4" t="n">
        <v>1</v>
      </c>
      <c r="B5" s="5" t="s">
        <v>35</v>
      </c>
      <c r="C5" s="5" t="s">
        <v>36</v>
      </c>
      <c r="D5" s="4" t="s">
        <v>37</v>
      </c>
      <c r="E5" s="5" t="s">
        <v>38</v>
      </c>
      <c r="F5" s="5" t="s">
        <v>39</v>
      </c>
      <c r="G5" s="5" t="s">
        <v>40</v>
      </c>
      <c r="H5" s="6" t="s">
        <v>41</v>
      </c>
      <c r="I5" s="6" t="s">
        <v>42</v>
      </c>
      <c r="J5" s="5" t="s">
        <v>43</v>
      </c>
      <c r="K5" s="5" t="s">
        <v>44</v>
      </c>
      <c r="L5" s="6" t="s">
        <v>45</v>
      </c>
      <c r="M5" s="6" t="s">
        <v>46</v>
      </c>
      <c r="N5" s="6" t="s">
        <v>47</v>
      </c>
      <c r="O5" s="5" t="s">
        <v>48</v>
      </c>
      <c r="P5" s="4" t="n">
        <v>12</v>
      </c>
      <c r="Q5" s="4" t="n">
        <v>10</v>
      </c>
      <c r="R5" s="4" t="n">
        <v>3</v>
      </c>
      <c r="S5" s="4" t="n">
        <v>8</v>
      </c>
      <c r="T5" s="4" t="n">
        <v>10</v>
      </c>
      <c r="U5" s="4" t="n">
        <v>6</v>
      </c>
      <c r="V5" s="4" t="n">
        <v>7</v>
      </c>
      <c r="W5" s="4" t="n">
        <v>7</v>
      </c>
      <c r="X5" s="4" t="n">
        <v>0</v>
      </c>
      <c r="Y5" s="4" t="n">
        <v>6</v>
      </c>
      <c r="Z5" s="4" t="n">
        <v>6</v>
      </c>
      <c r="AA5" s="7" t="n">
        <v>5</v>
      </c>
      <c r="AB5" s="7" t="n">
        <v>2</v>
      </c>
      <c r="AC5" s="4" t="n">
        <v>3</v>
      </c>
      <c r="AD5" s="8" t="n">
        <f aca="false">SUM(P5:AC5)</f>
        <v>85</v>
      </c>
      <c r="AE5" s="9" t="str">
        <f aca="false">IF(AD5&gt;=78,"Tier 1 Named",IF(AD5&gt;=68,"Tier 2 Priority",IF(AD5&gt;=58,"Tier 3 Volume",IF(AD5&gt;=45,"Nurture","Disqualify"))))</f>
        <v>Tier 1 Named</v>
      </c>
      <c r="AF5" s="4" t="n">
        <v>1</v>
      </c>
      <c r="AG5" s="6" t="s">
        <v>49</v>
      </c>
    </row>
    <row r="6" customFormat="false" ht="91.5" hidden="false" customHeight="true" outlineLevel="0" collapsed="false">
      <c r="A6" s="4" t="n">
        <v>2</v>
      </c>
      <c r="B6" s="5" t="s">
        <v>50</v>
      </c>
      <c r="C6" s="5" t="s">
        <v>51</v>
      </c>
      <c r="D6" s="4" t="s">
        <v>52</v>
      </c>
      <c r="E6" s="5" t="s">
        <v>38</v>
      </c>
      <c r="F6" s="5" t="s">
        <v>39</v>
      </c>
      <c r="G6" s="5" t="s">
        <v>40</v>
      </c>
      <c r="H6" s="6" t="s">
        <v>53</v>
      </c>
      <c r="I6" s="6" t="s">
        <v>54</v>
      </c>
      <c r="J6" s="5" t="s">
        <v>55</v>
      </c>
      <c r="K6" s="5" t="s">
        <v>44</v>
      </c>
      <c r="L6" s="6" t="s">
        <v>56</v>
      </c>
      <c r="M6" s="6" t="s">
        <v>57</v>
      </c>
      <c r="N6" s="6" t="s">
        <v>58</v>
      </c>
      <c r="O6" s="5" t="s">
        <v>59</v>
      </c>
      <c r="P6" s="4" t="n">
        <v>12</v>
      </c>
      <c r="Q6" s="4" t="n">
        <v>10</v>
      </c>
      <c r="R6" s="4" t="n">
        <v>3</v>
      </c>
      <c r="S6" s="4" t="n">
        <v>8</v>
      </c>
      <c r="T6" s="4" t="n">
        <v>10</v>
      </c>
      <c r="U6" s="4" t="n">
        <v>6</v>
      </c>
      <c r="V6" s="4" t="n">
        <v>7</v>
      </c>
      <c r="W6" s="4" t="n">
        <v>4</v>
      </c>
      <c r="X6" s="4" t="n">
        <v>0</v>
      </c>
      <c r="Y6" s="4" t="n">
        <v>6</v>
      </c>
      <c r="Z6" s="4" t="n">
        <v>6</v>
      </c>
      <c r="AA6" s="7" t="n">
        <v>5</v>
      </c>
      <c r="AB6" s="7" t="n">
        <v>2</v>
      </c>
      <c r="AC6" s="4" t="n">
        <v>5</v>
      </c>
      <c r="AD6" s="8" t="n">
        <f aca="false">SUM(P6:AC6)</f>
        <v>84</v>
      </c>
      <c r="AE6" s="9" t="str">
        <f aca="false">IF(AD6&gt;=78,"Tier 1 Named",IF(AD6&gt;=68,"Tier 2 Priority",IF(AD6&gt;=58,"Tier 3 Volume",IF(AD6&gt;=45,"Nurture","Disqualify"))))</f>
        <v>Tier 1 Named</v>
      </c>
      <c r="AF6" s="4" t="n">
        <v>1</v>
      </c>
      <c r="AG6" s="6" t="s">
        <v>60</v>
      </c>
    </row>
    <row r="7" customFormat="false" ht="91.5" hidden="false" customHeight="true" outlineLevel="0" collapsed="false">
      <c r="A7" s="4" t="n">
        <v>3</v>
      </c>
      <c r="B7" s="5" t="s">
        <v>61</v>
      </c>
      <c r="C7" s="5" t="s">
        <v>62</v>
      </c>
      <c r="D7" s="4" t="s">
        <v>37</v>
      </c>
      <c r="E7" s="5" t="s">
        <v>38</v>
      </c>
      <c r="F7" s="5" t="s">
        <v>63</v>
      </c>
      <c r="G7" s="5" t="s">
        <v>40</v>
      </c>
      <c r="H7" s="6" t="s">
        <v>64</v>
      </c>
      <c r="I7" s="6" t="s">
        <v>65</v>
      </c>
      <c r="J7" s="5" t="s">
        <v>66</v>
      </c>
      <c r="K7" s="5" t="s">
        <v>67</v>
      </c>
      <c r="L7" s="6" t="s">
        <v>68</v>
      </c>
      <c r="M7" s="6" t="s">
        <v>69</v>
      </c>
      <c r="N7" s="6" t="s">
        <v>70</v>
      </c>
      <c r="O7" s="5" t="s">
        <v>71</v>
      </c>
      <c r="P7" s="4" t="n">
        <v>12</v>
      </c>
      <c r="Q7" s="4" t="n">
        <v>10</v>
      </c>
      <c r="R7" s="4" t="n">
        <v>3</v>
      </c>
      <c r="S7" s="4" t="n">
        <v>7</v>
      </c>
      <c r="T7" s="4" t="n">
        <v>10</v>
      </c>
      <c r="U7" s="4" t="n">
        <v>4</v>
      </c>
      <c r="V7" s="4" t="n">
        <v>5</v>
      </c>
      <c r="W7" s="4" t="n">
        <v>6</v>
      </c>
      <c r="X7" s="4" t="n">
        <v>5</v>
      </c>
      <c r="Y7" s="4" t="n">
        <v>6</v>
      </c>
      <c r="Z7" s="4" t="n">
        <v>5</v>
      </c>
      <c r="AA7" s="7" t="n">
        <v>5</v>
      </c>
      <c r="AB7" s="7" t="n">
        <v>2</v>
      </c>
      <c r="AC7" s="4" t="n">
        <v>3</v>
      </c>
      <c r="AD7" s="8" t="n">
        <f aca="false">SUM(P7:AC7)</f>
        <v>83</v>
      </c>
      <c r="AE7" s="9" t="str">
        <f aca="false">IF(AD7&gt;=78,"Tier 1 Named",IF(AD7&gt;=68,"Tier 2 Priority",IF(AD7&gt;=58,"Tier 3 Volume",IF(AD7&gt;=45,"Nurture","Disqualify"))))</f>
        <v>Tier 1 Named</v>
      </c>
      <c r="AF7" s="4" t="n">
        <v>1</v>
      </c>
      <c r="AG7" s="6" t="s">
        <v>72</v>
      </c>
    </row>
    <row r="8" customFormat="false" ht="91.5" hidden="false" customHeight="true" outlineLevel="0" collapsed="false">
      <c r="A8" s="4" t="n">
        <v>4</v>
      </c>
      <c r="B8" s="5" t="s">
        <v>73</v>
      </c>
      <c r="C8" s="5" t="s">
        <v>74</v>
      </c>
      <c r="D8" s="4" t="s">
        <v>75</v>
      </c>
      <c r="E8" s="5" t="s">
        <v>38</v>
      </c>
      <c r="F8" s="5" t="s">
        <v>76</v>
      </c>
      <c r="G8" s="5" t="s">
        <v>40</v>
      </c>
      <c r="H8" s="6" t="s">
        <v>77</v>
      </c>
      <c r="I8" s="6" t="s">
        <v>78</v>
      </c>
      <c r="J8" s="5" t="s">
        <v>79</v>
      </c>
      <c r="K8" s="5" t="s">
        <v>80</v>
      </c>
      <c r="L8" s="6" t="s">
        <v>81</v>
      </c>
      <c r="M8" s="6" t="s">
        <v>82</v>
      </c>
      <c r="N8" s="6" t="s">
        <v>83</v>
      </c>
      <c r="O8" s="5" t="s">
        <v>84</v>
      </c>
      <c r="P8" s="4" t="n">
        <v>12</v>
      </c>
      <c r="Q8" s="4" t="n">
        <v>10</v>
      </c>
      <c r="R8" s="4" t="n">
        <v>3</v>
      </c>
      <c r="S8" s="4" t="n">
        <v>7</v>
      </c>
      <c r="T8" s="4" t="n">
        <v>10</v>
      </c>
      <c r="U8" s="4" t="n">
        <v>4</v>
      </c>
      <c r="V8" s="4" t="n">
        <v>8</v>
      </c>
      <c r="W8" s="4" t="n">
        <v>7</v>
      </c>
      <c r="X8" s="4" t="n">
        <v>5</v>
      </c>
      <c r="Y8" s="4" t="n">
        <v>2</v>
      </c>
      <c r="Z8" s="4" t="n">
        <v>5</v>
      </c>
      <c r="AA8" s="7" t="n">
        <v>5</v>
      </c>
      <c r="AB8" s="7" t="n">
        <v>2</v>
      </c>
      <c r="AC8" s="4" t="n">
        <v>3</v>
      </c>
      <c r="AD8" s="8" t="n">
        <f aca="false">SUM(P8:AC8)</f>
        <v>83</v>
      </c>
      <c r="AE8" s="9" t="str">
        <f aca="false">IF(AD8&gt;=78,"Tier 1 Named",IF(AD8&gt;=68,"Tier 2 Priority",IF(AD8&gt;=58,"Tier 3 Volume",IF(AD8&gt;=45,"Nurture","Disqualify"))))</f>
        <v>Tier 1 Named</v>
      </c>
      <c r="AF8" s="4" t="n">
        <v>1</v>
      </c>
      <c r="AG8" s="6" t="s">
        <v>85</v>
      </c>
    </row>
    <row r="9" customFormat="false" ht="91.5" hidden="false" customHeight="true" outlineLevel="0" collapsed="false">
      <c r="A9" s="4" t="n">
        <v>5</v>
      </c>
      <c r="B9" s="5" t="s">
        <v>86</v>
      </c>
      <c r="C9" s="5" t="s">
        <v>74</v>
      </c>
      <c r="D9" s="4" t="s">
        <v>75</v>
      </c>
      <c r="E9" s="5" t="s">
        <v>38</v>
      </c>
      <c r="F9" s="5" t="s">
        <v>87</v>
      </c>
      <c r="G9" s="5" t="s">
        <v>40</v>
      </c>
      <c r="H9" s="6" t="s">
        <v>88</v>
      </c>
      <c r="I9" s="6" t="s">
        <v>89</v>
      </c>
      <c r="J9" s="5" t="s">
        <v>79</v>
      </c>
      <c r="K9" s="5" t="s">
        <v>80</v>
      </c>
      <c r="L9" s="6" t="s">
        <v>90</v>
      </c>
      <c r="M9" s="6" t="s">
        <v>91</v>
      </c>
      <c r="N9" s="6" t="s">
        <v>92</v>
      </c>
      <c r="O9" s="5" t="s">
        <v>84</v>
      </c>
      <c r="P9" s="4" t="n">
        <v>12</v>
      </c>
      <c r="Q9" s="4" t="n">
        <v>10</v>
      </c>
      <c r="R9" s="4" t="n">
        <v>3</v>
      </c>
      <c r="S9" s="4" t="n">
        <v>7</v>
      </c>
      <c r="T9" s="4" t="n">
        <v>10</v>
      </c>
      <c r="U9" s="4" t="n">
        <v>4</v>
      </c>
      <c r="V9" s="4" t="n">
        <v>8</v>
      </c>
      <c r="W9" s="4" t="n">
        <v>7</v>
      </c>
      <c r="X9" s="4" t="n">
        <v>5</v>
      </c>
      <c r="Y9" s="4" t="n">
        <v>2</v>
      </c>
      <c r="Z9" s="4" t="n">
        <v>5</v>
      </c>
      <c r="AA9" s="7" t="n">
        <v>5</v>
      </c>
      <c r="AB9" s="7" t="n">
        <v>2</v>
      </c>
      <c r="AC9" s="4" t="n">
        <v>3</v>
      </c>
      <c r="AD9" s="8" t="n">
        <f aca="false">SUM(P9:AC9)</f>
        <v>83</v>
      </c>
      <c r="AE9" s="9" t="str">
        <f aca="false">IF(AD9&gt;=78,"Tier 1 Named",IF(AD9&gt;=68,"Tier 2 Priority",IF(AD9&gt;=58,"Tier 3 Volume",IF(AD9&gt;=45,"Nurture","Disqualify"))))</f>
        <v>Tier 1 Named</v>
      </c>
      <c r="AF9" s="4" t="n">
        <v>1</v>
      </c>
      <c r="AG9" s="6" t="s">
        <v>93</v>
      </c>
    </row>
    <row r="10" customFormat="false" ht="91.5" hidden="false" customHeight="true" outlineLevel="0" collapsed="false">
      <c r="A10" s="4" t="n">
        <v>6</v>
      </c>
      <c r="B10" s="5" t="s">
        <v>94</v>
      </c>
      <c r="C10" s="5" t="s">
        <v>62</v>
      </c>
      <c r="D10" s="4" t="s">
        <v>95</v>
      </c>
      <c r="E10" s="5" t="s">
        <v>38</v>
      </c>
      <c r="F10" s="5" t="s">
        <v>39</v>
      </c>
      <c r="G10" s="5" t="s">
        <v>40</v>
      </c>
      <c r="H10" s="6" t="s">
        <v>96</v>
      </c>
      <c r="I10" s="6" t="s">
        <v>97</v>
      </c>
      <c r="J10" s="5" t="s">
        <v>98</v>
      </c>
      <c r="K10" s="5" t="s">
        <v>67</v>
      </c>
      <c r="L10" s="6" t="s">
        <v>99</v>
      </c>
      <c r="M10" s="6" t="s">
        <v>100</v>
      </c>
      <c r="N10" s="6" t="s">
        <v>101</v>
      </c>
      <c r="O10" s="5" t="s">
        <v>102</v>
      </c>
      <c r="P10" s="4" t="n">
        <v>12</v>
      </c>
      <c r="Q10" s="4" t="n">
        <v>10</v>
      </c>
      <c r="R10" s="4" t="n">
        <v>3</v>
      </c>
      <c r="S10" s="4" t="n">
        <v>7</v>
      </c>
      <c r="T10" s="4" t="n">
        <v>10</v>
      </c>
      <c r="U10" s="4" t="n">
        <v>6</v>
      </c>
      <c r="V10" s="4" t="n">
        <v>3</v>
      </c>
      <c r="W10" s="4" t="n">
        <v>7</v>
      </c>
      <c r="X10" s="4" t="n">
        <v>4</v>
      </c>
      <c r="Y10" s="4" t="n">
        <v>5</v>
      </c>
      <c r="Z10" s="4" t="n">
        <v>5</v>
      </c>
      <c r="AA10" s="7" t="n">
        <v>5</v>
      </c>
      <c r="AB10" s="7" t="n">
        <v>2</v>
      </c>
      <c r="AC10" s="4" t="n">
        <v>3</v>
      </c>
      <c r="AD10" s="8" t="n">
        <f aca="false">SUM(P10:AC10)</f>
        <v>82</v>
      </c>
      <c r="AE10" s="9" t="str">
        <f aca="false">IF(AD10&gt;=78,"Tier 1 Named",IF(AD10&gt;=68,"Tier 2 Priority",IF(AD10&gt;=58,"Tier 3 Volume",IF(AD10&gt;=45,"Nurture","Disqualify"))))</f>
        <v>Tier 1 Named</v>
      </c>
      <c r="AF10" s="4" t="n">
        <v>2</v>
      </c>
      <c r="AG10" s="6" t="s">
        <v>103</v>
      </c>
    </row>
    <row r="11" customFormat="false" ht="91.5" hidden="false" customHeight="true" outlineLevel="0" collapsed="false">
      <c r="A11" s="4" t="n">
        <v>7</v>
      </c>
      <c r="B11" s="5" t="s">
        <v>104</v>
      </c>
      <c r="C11" s="5" t="s">
        <v>105</v>
      </c>
      <c r="D11" s="4" t="s">
        <v>75</v>
      </c>
      <c r="E11" s="5" t="s">
        <v>106</v>
      </c>
      <c r="F11" s="5" t="s">
        <v>107</v>
      </c>
      <c r="G11" s="5" t="s">
        <v>40</v>
      </c>
      <c r="H11" s="6" t="s">
        <v>108</v>
      </c>
      <c r="I11" s="6" t="s">
        <v>109</v>
      </c>
      <c r="J11" s="5" t="s">
        <v>110</v>
      </c>
      <c r="K11" s="5" t="s">
        <v>111</v>
      </c>
      <c r="L11" s="6" t="s">
        <v>112</v>
      </c>
      <c r="M11" s="6" t="s">
        <v>113</v>
      </c>
      <c r="N11" s="6" t="s">
        <v>114</v>
      </c>
      <c r="O11" s="5" t="s">
        <v>115</v>
      </c>
      <c r="P11" s="4" t="n">
        <v>12</v>
      </c>
      <c r="Q11" s="4" t="n">
        <v>8</v>
      </c>
      <c r="R11" s="4" t="n">
        <v>3</v>
      </c>
      <c r="S11" s="4" t="n">
        <v>7</v>
      </c>
      <c r="T11" s="4" t="n">
        <v>10</v>
      </c>
      <c r="U11" s="4" t="n">
        <v>6</v>
      </c>
      <c r="V11" s="4" t="n">
        <v>3</v>
      </c>
      <c r="W11" s="4" t="n">
        <v>7</v>
      </c>
      <c r="X11" s="4" t="n">
        <v>5</v>
      </c>
      <c r="Y11" s="4" t="n">
        <v>6</v>
      </c>
      <c r="Z11" s="4" t="n">
        <v>5</v>
      </c>
      <c r="AA11" s="7" t="n">
        <v>5</v>
      </c>
      <c r="AB11" s="7" t="n">
        <v>2</v>
      </c>
      <c r="AC11" s="4" t="n">
        <v>3</v>
      </c>
      <c r="AD11" s="8" t="n">
        <f aca="false">SUM(P11:AC11)</f>
        <v>82</v>
      </c>
      <c r="AE11" s="9" t="str">
        <f aca="false">IF(AD11&gt;=78,"Tier 1 Named",IF(AD11&gt;=68,"Tier 2 Priority",IF(AD11&gt;=58,"Tier 3 Volume",IF(AD11&gt;=45,"Nurture","Disqualify"))))</f>
        <v>Tier 1 Named</v>
      </c>
      <c r="AF11" s="4" t="n">
        <v>1</v>
      </c>
      <c r="AG11" s="6" t="s">
        <v>116</v>
      </c>
    </row>
    <row r="12" customFormat="false" ht="91.5" hidden="false" customHeight="true" outlineLevel="0" collapsed="false">
      <c r="A12" s="4" t="n">
        <v>8</v>
      </c>
      <c r="B12" s="5" t="s">
        <v>117</v>
      </c>
      <c r="C12" s="5" t="s">
        <v>118</v>
      </c>
      <c r="D12" s="4" t="s">
        <v>119</v>
      </c>
      <c r="E12" s="5" t="s">
        <v>38</v>
      </c>
      <c r="F12" s="5" t="s">
        <v>120</v>
      </c>
      <c r="G12" s="5" t="s">
        <v>40</v>
      </c>
      <c r="H12" s="6" t="s">
        <v>121</v>
      </c>
      <c r="I12" s="6" t="s">
        <v>122</v>
      </c>
      <c r="J12" s="5" t="s">
        <v>123</v>
      </c>
      <c r="K12" s="5" t="s">
        <v>67</v>
      </c>
      <c r="L12" s="6" t="s">
        <v>124</v>
      </c>
      <c r="M12" s="6" t="s">
        <v>125</v>
      </c>
      <c r="N12" s="6" t="s">
        <v>126</v>
      </c>
      <c r="O12" s="5" t="s">
        <v>127</v>
      </c>
      <c r="P12" s="4" t="n">
        <v>12</v>
      </c>
      <c r="Q12" s="4" t="n">
        <v>10</v>
      </c>
      <c r="R12" s="4" t="n">
        <v>3</v>
      </c>
      <c r="S12" s="4" t="n">
        <v>5</v>
      </c>
      <c r="T12" s="4" t="n">
        <v>10</v>
      </c>
      <c r="U12" s="4" t="n">
        <v>4</v>
      </c>
      <c r="V12" s="4" t="n">
        <v>7</v>
      </c>
      <c r="W12" s="4" t="n">
        <v>7</v>
      </c>
      <c r="X12" s="4" t="n">
        <v>5</v>
      </c>
      <c r="Y12" s="4" t="n">
        <v>6</v>
      </c>
      <c r="Z12" s="4" t="n">
        <v>3</v>
      </c>
      <c r="AA12" s="7" t="n">
        <v>5</v>
      </c>
      <c r="AB12" s="7" t="n">
        <v>2</v>
      </c>
      <c r="AC12" s="4" t="n">
        <v>3</v>
      </c>
      <c r="AD12" s="8" t="n">
        <f aca="false">SUM(P12:AC12)</f>
        <v>82</v>
      </c>
      <c r="AE12" s="9" t="str">
        <f aca="false">IF(AD12&gt;=78,"Tier 1 Named",IF(AD12&gt;=68,"Tier 2 Priority",IF(AD12&gt;=58,"Tier 3 Volume",IF(AD12&gt;=45,"Nurture","Disqualify"))))</f>
        <v>Tier 1 Named</v>
      </c>
      <c r="AF12" s="4" t="n">
        <v>1</v>
      </c>
      <c r="AG12" s="6" t="s">
        <v>128</v>
      </c>
    </row>
    <row r="13" customFormat="false" ht="91.5" hidden="false" customHeight="true" outlineLevel="0" collapsed="false">
      <c r="A13" s="4" t="n">
        <v>9</v>
      </c>
      <c r="B13" s="5" t="s">
        <v>129</v>
      </c>
      <c r="C13" s="5" t="s">
        <v>118</v>
      </c>
      <c r="D13" s="4" t="s">
        <v>119</v>
      </c>
      <c r="E13" s="5" t="s">
        <v>106</v>
      </c>
      <c r="F13" s="5" t="s">
        <v>130</v>
      </c>
      <c r="G13" s="5" t="s">
        <v>40</v>
      </c>
      <c r="H13" s="6" t="s">
        <v>131</v>
      </c>
      <c r="I13" s="6" t="s">
        <v>132</v>
      </c>
      <c r="J13" s="5" t="s">
        <v>133</v>
      </c>
      <c r="K13" s="5" t="s">
        <v>111</v>
      </c>
      <c r="L13" s="6" t="s">
        <v>134</v>
      </c>
      <c r="M13" s="6" t="s">
        <v>135</v>
      </c>
      <c r="N13" s="6" t="s">
        <v>136</v>
      </c>
      <c r="O13" s="5" t="s">
        <v>137</v>
      </c>
      <c r="P13" s="4" t="n">
        <v>12</v>
      </c>
      <c r="Q13" s="4" t="n">
        <v>8</v>
      </c>
      <c r="R13" s="4" t="n">
        <v>3</v>
      </c>
      <c r="S13" s="4" t="n">
        <v>8</v>
      </c>
      <c r="T13" s="4" t="n">
        <v>10</v>
      </c>
      <c r="U13" s="4" t="n">
        <v>6</v>
      </c>
      <c r="V13" s="4" t="n">
        <v>5</v>
      </c>
      <c r="W13" s="4" t="n">
        <v>4</v>
      </c>
      <c r="X13" s="4" t="n">
        <v>5</v>
      </c>
      <c r="Y13" s="4" t="n">
        <v>5</v>
      </c>
      <c r="Z13" s="4" t="n">
        <v>6</v>
      </c>
      <c r="AA13" s="7" t="n">
        <v>5</v>
      </c>
      <c r="AB13" s="7" t="n">
        <v>2</v>
      </c>
      <c r="AC13" s="4" t="n">
        <v>3</v>
      </c>
      <c r="AD13" s="8" t="n">
        <f aca="false">SUM(P13:AC13)</f>
        <v>82</v>
      </c>
      <c r="AE13" s="9" t="str">
        <f aca="false">IF(AD13&gt;=78,"Tier 1 Named",IF(AD13&gt;=68,"Tier 2 Priority",IF(AD13&gt;=58,"Tier 3 Volume",IF(AD13&gt;=45,"Nurture","Disqualify"))))</f>
        <v>Tier 1 Named</v>
      </c>
      <c r="AF13" s="4" t="n">
        <v>1</v>
      </c>
      <c r="AG13" s="6" t="s">
        <v>138</v>
      </c>
    </row>
    <row r="14" customFormat="false" ht="91.5" hidden="false" customHeight="true" outlineLevel="0" collapsed="false">
      <c r="A14" s="4" t="n">
        <v>10</v>
      </c>
      <c r="B14" s="5" t="s">
        <v>139</v>
      </c>
      <c r="C14" s="5" t="s">
        <v>51</v>
      </c>
      <c r="D14" s="4" t="s">
        <v>37</v>
      </c>
      <c r="E14" s="5" t="s">
        <v>106</v>
      </c>
      <c r="F14" s="5" t="s">
        <v>140</v>
      </c>
      <c r="G14" s="5" t="s">
        <v>40</v>
      </c>
      <c r="H14" s="6" t="s">
        <v>141</v>
      </c>
      <c r="I14" s="6" t="s">
        <v>142</v>
      </c>
      <c r="J14" s="5" t="s">
        <v>143</v>
      </c>
      <c r="K14" s="5" t="s">
        <v>144</v>
      </c>
      <c r="L14" s="6" t="s">
        <v>145</v>
      </c>
      <c r="M14" s="6" t="s">
        <v>146</v>
      </c>
      <c r="N14" s="6" t="s">
        <v>147</v>
      </c>
      <c r="O14" s="5" t="s">
        <v>148</v>
      </c>
      <c r="P14" s="4" t="n">
        <v>12</v>
      </c>
      <c r="Q14" s="4" t="n">
        <v>8</v>
      </c>
      <c r="R14" s="4" t="n">
        <v>3</v>
      </c>
      <c r="S14" s="4" t="n">
        <v>8</v>
      </c>
      <c r="T14" s="4" t="n">
        <v>10</v>
      </c>
      <c r="U14" s="4" t="n">
        <v>4</v>
      </c>
      <c r="V14" s="4" t="n">
        <v>8</v>
      </c>
      <c r="W14" s="4" t="n">
        <v>7</v>
      </c>
      <c r="X14" s="4" t="n">
        <v>0</v>
      </c>
      <c r="Y14" s="4" t="n">
        <v>6</v>
      </c>
      <c r="Z14" s="4" t="n">
        <v>5</v>
      </c>
      <c r="AA14" s="7" t="n">
        <v>5</v>
      </c>
      <c r="AB14" s="7" t="n">
        <v>2</v>
      </c>
      <c r="AC14" s="4" t="n">
        <v>3</v>
      </c>
      <c r="AD14" s="8" t="n">
        <f aca="false">SUM(P14:AC14)</f>
        <v>81</v>
      </c>
      <c r="AE14" s="9" t="str">
        <f aca="false">IF(AD14&gt;=78,"Tier 1 Named",IF(AD14&gt;=68,"Tier 2 Priority",IF(AD14&gt;=58,"Tier 3 Volume",IF(AD14&gt;=45,"Nurture","Disqualify"))))</f>
        <v>Tier 1 Named</v>
      </c>
      <c r="AF14" s="4" t="n">
        <v>1</v>
      </c>
      <c r="AG14" s="6" t="s">
        <v>149</v>
      </c>
    </row>
    <row r="15" customFormat="false" ht="91.5" hidden="false" customHeight="true" outlineLevel="0" collapsed="false">
      <c r="A15" s="4" t="n">
        <v>11</v>
      </c>
      <c r="B15" s="5" t="s">
        <v>150</v>
      </c>
      <c r="C15" s="5" t="s">
        <v>36</v>
      </c>
      <c r="D15" s="4" t="s">
        <v>37</v>
      </c>
      <c r="E15" s="5" t="s">
        <v>38</v>
      </c>
      <c r="F15" s="5" t="s">
        <v>151</v>
      </c>
      <c r="G15" s="5" t="s">
        <v>40</v>
      </c>
      <c r="H15" s="6" t="s">
        <v>152</v>
      </c>
      <c r="I15" s="6" t="s">
        <v>153</v>
      </c>
      <c r="J15" s="5" t="s">
        <v>154</v>
      </c>
      <c r="K15" s="5" t="s">
        <v>44</v>
      </c>
      <c r="L15" s="6" t="s">
        <v>155</v>
      </c>
      <c r="M15" s="6" t="s">
        <v>156</v>
      </c>
      <c r="N15" s="6" t="s">
        <v>157</v>
      </c>
      <c r="O15" s="5" t="s">
        <v>158</v>
      </c>
      <c r="P15" s="4" t="n">
        <v>12</v>
      </c>
      <c r="Q15" s="4" t="n">
        <v>10</v>
      </c>
      <c r="R15" s="4" t="n">
        <v>3</v>
      </c>
      <c r="S15" s="4" t="n">
        <v>8</v>
      </c>
      <c r="T15" s="4" t="n">
        <v>10</v>
      </c>
      <c r="U15" s="4" t="n">
        <v>6</v>
      </c>
      <c r="V15" s="4" t="n">
        <v>3</v>
      </c>
      <c r="W15" s="4" t="n">
        <v>7</v>
      </c>
      <c r="X15" s="4" t="n">
        <v>0</v>
      </c>
      <c r="Y15" s="4" t="n">
        <v>6</v>
      </c>
      <c r="Z15" s="4" t="n">
        <v>6</v>
      </c>
      <c r="AA15" s="7" t="n">
        <v>5</v>
      </c>
      <c r="AB15" s="7" t="n">
        <v>2</v>
      </c>
      <c r="AC15" s="4" t="n">
        <v>3</v>
      </c>
      <c r="AD15" s="8" t="n">
        <f aca="false">SUM(P15:AC15)</f>
        <v>81</v>
      </c>
      <c r="AE15" s="9" t="str">
        <f aca="false">IF(AD15&gt;=78,"Tier 1 Named",IF(AD15&gt;=68,"Tier 2 Priority",IF(AD15&gt;=58,"Tier 3 Volume",IF(AD15&gt;=45,"Nurture","Disqualify"))))</f>
        <v>Tier 1 Named</v>
      </c>
      <c r="AF15" s="4" t="n">
        <v>1</v>
      </c>
      <c r="AG15" s="6" t="s">
        <v>159</v>
      </c>
    </row>
    <row r="16" customFormat="false" ht="91.5" hidden="false" customHeight="true" outlineLevel="0" collapsed="false">
      <c r="A16" s="4" t="n">
        <v>12</v>
      </c>
      <c r="B16" s="5" t="s">
        <v>160</v>
      </c>
      <c r="C16" s="5" t="s">
        <v>161</v>
      </c>
      <c r="D16" s="4" t="s">
        <v>37</v>
      </c>
      <c r="E16" s="5" t="s">
        <v>106</v>
      </c>
      <c r="F16" s="5" t="s">
        <v>162</v>
      </c>
      <c r="G16" s="5" t="s">
        <v>40</v>
      </c>
      <c r="H16" s="6" t="s">
        <v>163</v>
      </c>
      <c r="I16" s="6" t="s">
        <v>164</v>
      </c>
      <c r="J16" s="5" t="s">
        <v>165</v>
      </c>
      <c r="K16" s="5" t="s">
        <v>80</v>
      </c>
      <c r="L16" s="6" t="s">
        <v>166</v>
      </c>
      <c r="M16" s="6" t="s">
        <v>167</v>
      </c>
      <c r="N16" s="6" t="s">
        <v>168</v>
      </c>
      <c r="O16" s="5" t="s">
        <v>169</v>
      </c>
      <c r="P16" s="4" t="n">
        <v>12</v>
      </c>
      <c r="Q16" s="4" t="n">
        <v>8</v>
      </c>
      <c r="R16" s="4" t="n">
        <v>3</v>
      </c>
      <c r="S16" s="4" t="n">
        <v>8</v>
      </c>
      <c r="T16" s="4" t="n">
        <v>10</v>
      </c>
      <c r="U16" s="4" t="n">
        <v>4</v>
      </c>
      <c r="V16" s="4" t="n">
        <v>8</v>
      </c>
      <c r="W16" s="4" t="n">
        <v>7</v>
      </c>
      <c r="X16" s="4" t="n">
        <v>4</v>
      </c>
      <c r="Y16" s="4" t="n">
        <v>2</v>
      </c>
      <c r="Z16" s="4" t="n">
        <v>5</v>
      </c>
      <c r="AA16" s="7" t="n">
        <v>5</v>
      </c>
      <c r="AB16" s="7" t="n">
        <v>2</v>
      </c>
      <c r="AC16" s="4" t="n">
        <v>3</v>
      </c>
      <c r="AD16" s="8" t="n">
        <f aca="false">SUM(P16:AC16)</f>
        <v>81</v>
      </c>
      <c r="AE16" s="9" t="str">
        <f aca="false">IF(AD16&gt;=78,"Tier 1 Named",IF(AD16&gt;=68,"Tier 2 Priority",IF(AD16&gt;=58,"Tier 3 Volume",IF(AD16&gt;=45,"Nurture","Disqualify"))))</f>
        <v>Tier 1 Named</v>
      </c>
      <c r="AF16" s="4" t="n">
        <v>1</v>
      </c>
      <c r="AG16" s="6" t="s">
        <v>93</v>
      </c>
    </row>
    <row r="17" customFormat="false" ht="91.5" hidden="false" customHeight="true" outlineLevel="0" collapsed="false">
      <c r="A17" s="4" t="n">
        <v>13</v>
      </c>
      <c r="B17" s="5" t="s">
        <v>170</v>
      </c>
      <c r="C17" s="5" t="s">
        <v>51</v>
      </c>
      <c r="D17" s="4" t="s">
        <v>37</v>
      </c>
      <c r="E17" s="5" t="s">
        <v>38</v>
      </c>
      <c r="F17" s="5" t="s">
        <v>140</v>
      </c>
      <c r="G17" s="5" t="s">
        <v>40</v>
      </c>
      <c r="H17" s="6" t="s">
        <v>171</v>
      </c>
      <c r="I17" s="6" t="s">
        <v>172</v>
      </c>
      <c r="J17" s="5" t="s">
        <v>173</v>
      </c>
      <c r="K17" s="5" t="s">
        <v>174</v>
      </c>
      <c r="L17" s="6" t="s">
        <v>175</v>
      </c>
      <c r="M17" s="6" t="s">
        <v>176</v>
      </c>
      <c r="N17" s="6" t="s">
        <v>177</v>
      </c>
      <c r="O17" s="5" t="s">
        <v>178</v>
      </c>
      <c r="P17" s="4" t="n">
        <v>12</v>
      </c>
      <c r="Q17" s="4" t="n">
        <v>10</v>
      </c>
      <c r="R17" s="4" t="n">
        <v>3</v>
      </c>
      <c r="S17" s="4" t="n">
        <v>7</v>
      </c>
      <c r="T17" s="4" t="n">
        <v>8</v>
      </c>
      <c r="U17" s="4" t="n">
        <v>4</v>
      </c>
      <c r="V17" s="4" t="n">
        <v>8</v>
      </c>
      <c r="W17" s="4" t="n">
        <v>7</v>
      </c>
      <c r="X17" s="4" t="n">
        <v>0</v>
      </c>
      <c r="Y17" s="4" t="n">
        <v>5</v>
      </c>
      <c r="Z17" s="4" t="n">
        <v>5</v>
      </c>
      <c r="AA17" s="7" t="n">
        <v>5</v>
      </c>
      <c r="AB17" s="7" t="n">
        <v>2</v>
      </c>
      <c r="AC17" s="4" t="n">
        <v>5</v>
      </c>
      <c r="AD17" s="8" t="n">
        <f aca="false">SUM(P17:AC17)</f>
        <v>81</v>
      </c>
      <c r="AE17" s="9" t="str">
        <f aca="false">IF(AD17&gt;=78,"Tier 1 Named",IF(AD17&gt;=68,"Tier 2 Priority",IF(AD17&gt;=58,"Tier 3 Volume",IF(AD17&gt;=45,"Nurture","Disqualify"))))</f>
        <v>Tier 1 Named</v>
      </c>
      <c r="AF17" s="4" t="n">
        <v>1</v>
      </c>
      <c r="AG17" s="6" t="s">
        <v>179</v>
      </c>
    </row>
    <row r="18" customFormat="false" ht="91.5" hidden="false" customHeight="true" outlineLevel="0" collapsed="false">
      <c r="A18" s="4" t="n">
        <v>14</v>
      </c>
      <c r="B18" s="5" t="s">
        <v>180</v>
      </c>
      <c r="C18" s="5" t="s">
        <v>36</v>
      </c>
      <c r="D18" s="4" t="s">
        <v>37</v>
      </c>
      <c r="E18" s="5" t="s">
        <v>38</v>
      </c>
      <c r="F18" s="5" t="s">
        <v>140</v>
      </c>
      <c r="G18" s="5" t="s">
        <v>40</v>
      </c>
      <c r="H18" s="6" t="s">
        <v>181</v>
      </c>
      <c r="I18" s="6" t="s">
        <v>182</v>
      </c>
      <c r="J18" s="5" t="s">
        <v>183</v>
      </c>
      <c r="K18" s="5" t="s">
        <v>174</v>
      </c>
      <c r="L18" s="6" t="s">
        <v>184</v>
      </c>
      <c r="M18" s="6" t="s">
        <v>185</v>
      </c>
      <c r="N18" s="6" t="s">
        <v>186</v>
      </c>
      <c r="O18" s="5" t="s">
        <v>158</v>
      </c>
      <c r="P18" s="4" t="n">
        <v>12</v>
      </c>
      <c r="Q18" s="4" t="n">
        <v>10</v>
      </c>
      <c r="R18" s="4" t="n">
        <v>3</v>
      </c>
      <c r="S18" s="4" t="n">
        <v>5</v>
      </c>
      <c r="T18" s="4" t="n">
        <v>10</v>
      </c>
      <c r="U18" s="4" t="n">
        <v>4</v>
      </c>
      <c r="V18" s="4" t="n">
        <v>8</v>
      </c>
      <c r="W18" s="4" t="n">
        <v>6</v>
      </c>
      <c r="X18" s="4" t="n">
        <v>0</v>
      </c>
      <c r="Y18" s="4" t="n">
        <v>6</v>
      </c>
      <c r="Z18" s="4" t="n">
        <v>5</v>
      </c>
      <c r="AA18" s="7" t="n">
        <v>5</v>
      </c>
      <c r="AB18" s="7" t="n">
        <v>2</v>
      </c>
      <c r="AC18" s="4" t="n">
        <v>5</v>
      </c>
      <c r="AD18" s="8" t="n">
        <f aca="false">SUM(P18:AC18)</f>
        <v>81</v>
      </c>
      <c r="AE18" s="9" t="str">
        <f aca="false">IF(AD18&gt;=78,"Tier 1 Named",IF(AD18&gt;=68,"Tier 2 Priority",IF(AD18&gt;=58,"Tier 3 Volume",IF(AD18&gt;=45,"Nurture","Disqualify"))))</f>
        <v>Tier 1 Named</v>
      </c>
      <c r="AF18" s="4" t="n">
        <v>1</v>
      </c>
      <c r="AG18" s="6"/>
    </row>
    <row r="19" customFormat="false" ht="91.5" hidden="false" customHeight="true" outlineLevel="0" collapsed="false">
      <c r="A19" s="4" t="n">
        <v>15</v>
      </c>
      <c r="B19" s="5" t="s">
        <v>187</v>
      </c>
      <c r="C19" s="5" t="s">
        <v>188</v>
      </c>
      <c r="D19" s="4" t="s">
        <v>189</v>
      </c>
      <c r="E19" s="5" t="s">
        <v>190</v>
      </c>
      <c r="F19" s="5" t="s">
        <v>39</v>
      </c>
      <c r="G19" s="5" t="s">
        <v>40</v>
      </c>
      <c r="H19" s="6" t="s">
        <v>191</v>
      </c>
      <c r="I19" s="6" t="s">
        <v>192</v>
      </c>
      <c r="J19" s="5" t="s">
        <v>193</v>
      </c>
      <c r="K19" s="5" t="s">
        <v>144</v>
      </c>
      <c r="L19" s="6" t="s">
        <v>194</v>
      </c>
      <c r="M19" s="6" t="s">
        <v>195</v>
      </c>
      <c r="N19" s="6" t="s">
        <v>196</v>
      </c>
      <c r="O19" s="5" t="s">
        <v>197</v>
      </c>
      <c r="P19" s="4" t="n">
        <v>12</v>
      </c>
      <c r="Q19" s="4" t="n">
        <v>9</v>
      </c>
      <c r="R19" s="4" t="n">
        <v>3</v>
      </c>
      <c r="S19" s="4" t="n">
        <v>7</v>
      </c>
      <c r="T19" s="4" t="n">
        <v>10</v>
      </c>
      <c r="U19" s="4" t="n">
        <v>4</v>
      </c>
      <c r="V19" s="4" t="n">
        <v>5</v>
      </c>
      <c r="W19" s="4" t="n">
        <v>6</v>
      </c>
      <c r="X19" s="4" t="n">
        <v>5</v>
      </c>
      <c r="Y19" s="4" t="n">
        <v>2</v>
      </c>
      <c r="Z19" s="4" t="n">
        <v>5</v>
      </c>
      <c r="AA19" s="7" t="n">
        <v>5</v>
      </c>
      <c r="AB19" s="7" t="n">
        <v>2</v>
      </c>
      <c r="AC19" s="4" t="n">
        <v>5</v>
      </c>
      <c r="AD19" s="8" t="n">
        <f aca="false">SUM(P19:AC19)</f>
        <v>80</v>
      </c>
      <c r="AE19" s="9" t="str">
        <f aca="false">IF(AD19&gt;=78,"Tier 1 Named",IF(AD19&gt;=68,"Tier 2 Priority",IF(AD19&gt;=58,"Tier 3 Volume",IF(AD19&gt;=45,"Nurture","Disqualify"))))</f>
        <v>Tier 1 Named</v>
      </c>
      <c r="AF19" s="4" t="n">
        <v>1</v>
      </c>
      <c r="AG19" s="6" t="s">
        <v>198</v>
      </c>
    </row>
    <row r="20" customFormat="false" ht="91.5" hidden="false" customHeight="true" outlineLevel="0" collapsed="false">
      <c r="A20" s="4" t="n">
        <v>16</v>
      </c>
      <c r="B20" s="5" t="s">
        <v>199</v>
      </c>
      <c r="C20" s="5" t="s">
        <v>51</v>
      </c>
      <c r="D20" s="4" t="s">
        <v>200</v>
      </c>
      <c r="E20" s="5" t="s">
        <v>190</v>
      </c>
      <c r="F20" s="5" t="s">
        <v>201</v>
      </c>
      <c r="G20" s="5" t="s">
        <v>40</v>
      </c>
      <c r="H20" s="6" t="s">
        <v>202</v>
      </c>
      <c r="I20" s="6" t="s">
        <v>203</v>
      </c>
      <c r="J20" s="5" t="s">
        <v>204</v>
      </c>
      <c r="K20" s="5" t="s">
        <v>205</v>
      </c>
      <c r="L20" s="6" t="s">
        <v>206</v>
      </c>
      <c r="M20" s="6" t="s">
        <v>207</v>
      </c>
      <c r="N20" s="6" t="s">
        <v>208</v>
      </c>
      <c r="O20" s="5" t="s">
        <v>209</v>
      </c>
      <c r="P20" s="4" t="n">
        <v>12</v>
      </c>
      <c r="Q20" s="4" t="n">
        <v>9</v>
      </c>
      <c r="R20" s="4" t="n">
        <v>3</v>
      </c>
      <c r="S20" s="4" t="n">
        <v>8</v>
      </c>
      <c r="T20" s="4" t="n">
        <v>10</v>
      </c>
      <c r="U20" s="4" t="n">
        <v>6</v>
      </c>
      <c r="V20" s="4" t="n">
        <v>3</v>
      </c>
      <c r="W20" s="4" t="n">
        <v>6</v>
      </c>
      <c r="X20" s="4" t="n">
        <v>0</v>
      </c>
      <c r="Y20" s="4" t="n">
        <v>5</v>
      </c>
      <c r="Z20" s="4" t="n">
        <v>6</v>
      </c>
      <c r="AA20" s="7" t="n">
        <v>5</v>
      </c>
      <c r="AB20" s="7" t="n">
        <v>2</v>
      </c>
      <c r="AC20" s="4" t="n">
        <v>5</v>
      </c>
      <c r="AD20" s="8" t="n">
        <f aca="false">SUM(P20:AC20)</f>
        <v>80</v>
      </c>
      <c r="AE20" s="9" t="str">
        <f aca="false">IF(AD20&gt;=78,"Tier 1 Named",IF(AD20&gt;=68,"Tier 2 Priority",IF(AD20&gt;=58,"Tier 3 Volume",IF(AD20&gt;=45,"Nurture","Disqualify"))))</f>
        <v>Tier 1 Named</v>
      </c>
      <c r="AF20" s="4" t="n">
        <v>1</v>
      </c>
      <c r="AG20" s="6" t="s">
        <v>210</v>
      </c>
    </row>
    <row r="21" customFormat="false" ht="91.5" hidden="false" customHeight="true" outlineLevel="0" collapsed="false">
      <c r="A21" s="4" t="n">
        <v>17</v>
      </c>
      <c r="B21" s="5" t="s">
        <v>211</v>
      </c>
      <c r="C21" s="5" t="s">
        <v>118</v>
      </c>
      <c r="D21" s="4" t="s">
        <v>212</v>
      </c>
      <c r="E21" s="5" t="s">
        <v>106</v>
      </c>
      <c r="F21" s="5" t="s">
        <v>130</v>
      </c>
      <c r="G21" s="5" t="s">
        <v>40</v>
      </c>
      <c r="H21" s="6" t="s">
        <v>213</v>
      </c>
      <c r="I21" s="6" t="s">
        <v>214</v>
      </c>
      <c r="J21" s="5" t="s">
        <v>215</v>
      </c>
      <c r="K21" s="5" t="s">
        <v>111</v>
      </c>
      <c r="L21" s="6" t="s">
        <v>216</v>
      </c>
      <c r="M21" s="6" t="s">
        <v>217</v>
      </c>
      <c r="N21" s="6" t="s">
        <v>218</v>
      </c>
      <c r="O21" s="5" t="s">
        <v>219</v>
      </c>
      <c r="P21" s="4" t="n">
        <v>12</v>
      </c>
      <c r="Q21" s="4" t="n">
        <v>8</v>
      </c>
      <c r="R21" s="4" t="n">
        <v>3</v>
      </c>
      <c r="S21" s="4" t="n">
        <v>8</v>
      </c>
      <c r="T21" s="4" t="n">
        <v>10</v>
      </c>
      <c r="U21" s="4" t="n">
        <v>4</v>
      </c>
      <c r="V21" s="4" t="n">
        <v>3</v>
      </c>
      <c r="W21" s="4" t="n">
        <v>4</v>
      </c>
      <c r="X21" s="4" t="n">
        <v>5</v>
      </c>
      <c r="Y21" s="4" t="n">
        <v>6</v>
      </c>
      <c r="Z21" s="4" t="n">
        <v>6</v>
      </c>
      <c r="AA21" s="7" t="n">
        <v>5</v>
      </c>
      <c r="AB21" s="7" t="n">
        <v>2</v>
      </c>
      <c r="AC21" s="4" t="n">
        <v>3</v>
      </c>
      <c r="AD21" s="8" t="n">
        <f aca="false">SUM(P21:AC21)</f>
        <v>79</v>
      </c>
      <c r="AE21" s="9" t="str">
        <f aca="false">IF(AD21&gt;=78,"Tier 1 Named",IF(AD21&gt;=68,"Tier 2 Priority",IF(AD21&gt;=58,"Tier 3 Volume",IF(AD21&gt;=45,"Nurture","Disqualify"))))</f>
        <v>Tier 1 Named</v>
      </c>
      <c r="AF21" s="4" t="n">
        <v>1</v>
      </c>
      <c r="AG21" s="6" t="s">
        <v>220</v>
      </c>
    </row>
    <row r="22" customFormat="false" ht="91.5" hidden="false" customHeight="true" outlineLevel="0" collapsed="false">
      <c r="A22" s="4" t="n">
        <v>18</v>
      </c>
      <c r="B22" s="5" t="s">
        <v>221</v>
      </c>
      <c r="C22" s="5" t="s">
        <v>222</v>
      </c>
      <c r="D22" s="4" t="s">
        <v>37</v>
      </c>
      <c r="E22" s="5" t="s">
        <v>106</v>
      </c>
      <c r="F22" s="5" t="s">
        <v>87</v>
      </c>
      <c r="G22" s="5" t="s">
        <v>40</v>
      </c>
      <c r="H22" s="6" t="s">
        <v>223</v>
      </c>
      <c r="I22" s="6" t="s">
        <v>224</v>
      </c>
      <c r="J22" s="5" t="s">
        <v>225</v>
      </c>
      <c r="K22" s="5" t="s">
        <v>44</v>
      </c>
      <c r="L22" s="6" t="s">
        <v>226</v>
      </c>
      <c r="M22" s="6" t="s">
        <v>227</v>
      </c>
      <c r="N22" s="6" t="s">
        <v>228</v>
      </c>
      <c r="O22" s="5" t="s">
        <v>229</v>
      </c>
      <c r="P22" s="4" t="n">
        <v>12</v>
      </c>
      <c r="Q22" s="4" t="n">
        <v>8</v>
      </c>
      <c r="R22" s="4" t="n">
        <v>3</v>
      </c>
      <c r="S22" s="4" t="n">
        <v>8</v>
      </c>
      <c r="T22" s="4" t="n">
        <v>10</v>
      </c>
      <c r="U22" s="4" t="n">
        <v>4</v>
      </c>
      <c r="V22" s="4" t="n">
        <v>8</v>
      </c>
      <c r="W22" s="4" t="n">
        <v>6</v>
      </c>
      <c r="X22" s="4" t="n">
        <v>0</v>
      </c>
      <c r="Y22" s="4" t="n">
        <v>5</v>
      </c>
      <c r="Z22" s="4" t="n">
        <v>5</v>
      </c>
      <c r="AA22" s="7" t="n">
        <v>5</v>
      </c>
      <c r="AB22" s="7" t="n">
        <v>2</v>
      </c>
      <c r="AC22" s="4" t="n">
        <v>3</v>
      </c>
      <c r="AD22" s="8" t="n">
        <f aca="false">SUM(P22:AC22)</f>
        <v>79</v>
      </c>
      <c r="AE22" s="9" t="str">
        <f aca="false">IF(AD22&gt;=78,"Tier 1 Named",IF(AD22&gt;=68,"Tier 2 Priority",IF(AD22&gt;=58,"Tier 3 Volume",IF(AD22&gt;=45,"Nurture","Disqualify"))))</f>
        <v>Tier 1 Named</v>
      </c>
      <c r="AF22" s="4" t="n">
        <v>1</v>
      </c>
      <c r="AG22" s="6"/>
    </row>
    <row r="23" customFormat="false" ht="91.5" hidden="false" customHeight="true" outlineLevel="0" collapsed="false">
      <c r="A23" s="4" t="n">
        <v>19</v>
      </c>
      <c r="B23" s="5" t="s">
        <v>230</v>
      </c>
      <c r="C23" s="5" t="s">
        <v>222</v>
      </c>
      <c r="D23" s="4" t="s">
        <v>37</v>
      </c>
      <c r="E23" s="5" t="s">
        <v>106</v>
      </c>
      <c r="F23" s="5" t="s">
        <v>39</v>
      </c>
      <c r="G23" s="5" t="s">
        <v>40</v>
      </c>
      <c r="H23" s="6" t="s">
        <v>231</v>
      </c>
      <c r="I23" s="6" t="s">
        <v>232</v>
      </c>
      <c r="J23" s="5" t="s">
        <v>233</v>
      </c>
      <c r="K23" s="5" t="s">
        <v>111</v>
      </c>
      <c r="L23" s="6" t="s">
        <v>234</v>
      </c>
      <c r="M23" s="6" t="s">
        <v>235</v>
      </c>
      <c r="N23" s="6" t="s">
        <v>236</v>
      </c>
      <c r="O23" s="5" t="s">
        <v>237</v>
      </c>
      <c r="P23" s="4" t="n">
        <v>12</v>
      </c>
      <c r="Q23" s="4" t="n">
        <v>8</v>
      </c>
      <c r="R23" s="4" t="n">
        <v>3</v>
      </c>
      <c r="S23" s="4" t="n">
        <v>8</v>
      </c>
      <c r="T23" s="4" t="n">
        <v>10</v>
      </c>
      <c r="U23" s="4" t="n">
        <v>4</v>
      </c>
      <c r="V23" s="4" t="n">
        <v>8</v>
      </c>
      <c r="W23" s="4" t="n">
        <v>6</v>
      </c>
      <c r="X23" s="4" t="n">
        <v>0</v>
      </c>
      <c r="Y23" s="4" t="n">
        <v>5</v>
      </c>
      <c r="Z23" s="4" t="n">
        <v>5</v>
      </c>
      <c r="AA23" s="7" t="n">
        <v>5</v>
      </c>
      <c r="AB23" s="7" t="n">
        <v>2</v>
      </c>
      <c r="AC23" s="4" t="n">
        <v>3</v>
      </c>
      <c r="AD23" s="8" t="n">
        <f aca="false">SUM(P23:AC23)</f>
        <v>79</v>
      </c>
      <c r="AE23" s="9" t="str">
        <f aca="false">IF(AD23&gt;=78,"Tier 1 Named",IF(AD23&gt;=68,"Tier 2 Priority",IF(AD23&gt;=58,"Tier 3 Volume",IF(AD23&gt;=45,"Nurture","Disqualify"))))</f>
        <v>Tier 1 Named</v>
      </c>
      <c r="AF23" s="4" t="n">
        <v>1</v>
      </c>
      <c r="AG23" s="6"/>
    </row>
    <row r="24" customFormat="false" ht="91.5" hidden="false" customHeight="true" outlineLevel="0" collapsed="false">
      <c r="A24" s="4" t="n">
        <v>20</v>
      </c>
      <c r="B24" s="5" t="s">
        <v>238</v>
      </c>
      <c r="C24" s="5" t="s">
        <v>222</v>
      </c>
      <c r="D24" s="4" t="s">
        <v>37</v>
      </c>
      <c r="E24" s="5" t="s">
        <v>38</v>
      </c>
      <c r="F24" s="5" t="s">
        <v>39</v>
      </c>
      <c r="G24" s="5" t="s">
        <v>239</v>
      </c>
      <c r="H24" s="6" t="s">
        <v>240</v>
      </c>
      <c r="I24" s="6" t="s">
        <v>241</v>
      </c>
      <c r="J24" s="5" t="s">
        <v>242</v>
      </c>
      <c r="K24" s="5" t="s">
        <v>111</v>
      </c>
      <c r="L24" s="6" t="s">
        <v>243</v>
      </c>
      <c r="M24" s="6" t="s">
        <v>244</v>
      </c>
      <c r="N24" s="6" t="s">
        <v>245</v>
      </c>
      <c r="O24" s="5" t="s">
        <v>246</v>
      </c>
      <c r="P24" s="4" t="n">
        <v>12</v>
      </c>
      <c r="Q24" s="4" t="n">
        <v>10</v>
      </c>
      <c r="R24" s="4" t="n">
        <v>3</v>
      </c>
      <c r="S24" s="4" t="n">
        <v>7</v>
      </c>
      <c r="T24" s="4" t="n">
        <v>10</v>
      </c>
      <c r="U24" s="4" t="n">
        <v>4</v>
      </c>
      <c r="V24" s="4" t="n">
        <v>8</v>
      </c>
      <c r="W24" s="4" t="n">
        <v>6</v>
      </c>
      <c r="X24" s="4" t="n">
        <v>0</v>
      </c>
      <c r="Y24" s="4" t="n">
        <v>6</v>
      </c>
      <c r="Z24" s="4" t="n">
        <v>3</v>
      </c>
      <c r="AA24" s="7" t="n">
        <v>5</v>
      </c>
      <c r="AB24" s="7" t="n">
        <v>2</v>
      </c>
      <c r="AC24" s="4" t="n">
        <v>3</v>
      </c>
      <c r="AD24" s="8" t="n">
        <f aca="false">SUM(P24:AC24)</f>
        <v>79</v>
      </c>
      <c r="AE24" s="9" t="str">
        <f aca="false">IF(AD24&gt;=78,"Tier 1 Named",IF(AD24&gt;=68,"Tier 2 Priority",IF(AD24&gt;=58,"Tier 3 Volume",IF(AD24&gt;=45,"Nurture","Disqualify"))))</f>
        <v>Tier 1 Named</v>
      </c>
      <c r="AF24" s="4" t="n">
        <v>1</v>
      </c>
      <c r="AG24" s="6" t="s">
        <v>247</v>
      </c>
    </row>
    <row r="25" customFormat="false" ht="91.5" hidden="false" customHeight="true" outlineLevel="0" collapsed="false">
      <c r="A25" s="4" t="n">
        <v>21</v>
      </c>
      <c r="B25" s="5" t="s">
        <v>248</v>
      </c>
      <c r="C25" s="5" t="s">
        <v>222</v>
      </c>
      <c r="D25" s="4" t="s">
        <v>249</v>
      </c>
      <c r="E25" s="5" t="s">
        <v>38</v>
      </c>
      <c r="F25" s="5" t="s">
        <v>250</v>
      </c>
      <c r="G25" s="5" t="s">
        <v>40</v>
      </c>
      <c r="H25" s="6" t="s">
        <v>251</v>
      </c>
      <c r="I25" s="6" t="s">
        <v>252</v>
      </c>
      <c r="J25" s="5" t="s">
        <v>233</v>
      </c>
      <c r="K25" s="5" t="s">
        <v>174</v>
      </c>
      <c r="L25" s="6" t="s">
        <v>253</v>
      </c>
      <c r="M25" s="6" t="s">
        <v>254</v>
      </c>
      <c r="N25" s="6" t="s">
        <v>255</v>
      </c>
      <c r="O25" s="5" t="s">
        <v>256</v>
      </c>
      <c r="P25" s="4" t="n">
        <v>12</v>
      </c>
      <c r="Q25" s="4" t="n">
        <v>10</v>
      </c>
      <c r="R25" s="4" t="n">
        <v>3</v>
      </c>
      <c r="S25" s="4" t="n">
        <v>5</v>
      </c>
      <c r="T25" s="4" t="n">
        <v>8</v>
      </c>
      <c r="U25" s="4" t="n">
        <v>4</v>
      </c>
      <c r="V25" s="4" t="n">
        <v>8</v>
      </c>
      <c r="W25" s="4" t="n">
        <v>7</v>
      </c>
      <c r="X25" s="4" t="n">
        <v>0</v>
      </c>
      <c r="Y25" s="4" t="n">
        <v>5</v>
      </c>
      <c r="Z25" s="4" t="n">
        <v>5</v>
      </c>
      <c r="AA25" s="7" t="n">
        <v>5</v>
      </c>
      <c r="AB25" s="7" t="n">
        <v>2</v>
      </c>
      <c r="AC25" s="4" t="n">
        <v>5</v>
      </c>
      <c r="AD25" s="8" t="n">
        <f aca="false">SUM(P25:AC25)</f>
        <v>79</v>
      </c>
      <c r="AE25" s="9" t="str">
        <f aca="false">IF(AD25&gt;=78,"Tier 1 Named",IF(AD25&gt;=68,"Tier 2 Priority",IF(AD25&gt;=58,"Tier 3 Volume",IF(AD25&gt;=45,"Nurture","Disqualify"))))</f>
        <v>Tier 1 Named</v>
      </c>
      <c r="AF25" s="4" t="n">
        <v>1</v>
      </c>
      <c r="AG25" s="6" t="s">
        <v>257</v>
      </c>
    </row>
    <row r="26" customFormat="false" ht="91.5" hidden="false" customHeight="true" outlineLevel="0" collapsed="false">
      <c r="A26" s="4" t="n">
        <v>22</v>
      </c>
      <c r="B26" s="5" t="s">
        <v>258</v>
      </c>
      <c r="C26" s="5" t="s">
        <v>188</v>
      </c>
      <c r="D26" s="4" t="s">
        <v>259</v>
      </c>
      <c r="E26" s="5" t="s">
        <v>38</v>
      </c>
      <c r="F26" s="5" t="s">
        <v>63</v>
      </c>
      <c r="G26" s="5" t="s">
        <v>260</v>
      </c>
      <c r="H26" s="6" t="s">
        <v>261</v>
      </c>
      <c r="I26" s="6" t="s">
        <v>262</v>
      </c>
      <c r="J26" s="5" t="s">
        <v>263</v>
      </c>
      <c r="K26" s="5" t="s">
        <v>264</v>
      </c>
      <c r="L26" s="6" t="s">
        <v>265</v>
      </c>
      <c r="M26" s="6" t="s">
        <v>266</v>
      </c>
      <c r="N26" s="6" t="s">
        <v>267</v>
      </c>
      <c r="O26" s="5" t="s">
        <v>197</v>
      </c>
      <c r="P26" s="4" t="n">
        <v>12</v>
      </c>
      <c r="Q26" s="4" t="n">
        <v>10</v>
      </c>
      <c r="R26" s="4" t="n">
        <v>3</v>
      </c>
      <c r="S26" s="4" t="n">
        <v>7</v>
      </c>
      <c r="T26" s="4" t="n">
        <v>10</v>
      </c>
      <c r="U26" s="4" t="n">
        <v>4</v>
      </c>
      <c r="V26" s="4" t="n">
        <v>7</v>
      </c>
      <c r="W26" s="4" t="n">
        <v>4</v>
      </c>
      <c r="X26" s="4" t="n">
        <v>5</v>
      </c>
      <c r="Y26" s="4" t="n">
        <v>2</v>
      </c>
      <c r="Z26" s="4" t="n">
        <v>5</v>
      </c>
      <c r="AA26" s="7" t="n">
        <v>5</v>
      </c>
      <c r="AB26" s="7" t="n">
        <v>2</v>
      </c>
      <c r="AC26" s="4" t="n">
        <v>3</v>
      </c>
      <c r="AD26" s="8" t="n">
        <f aca="false">SUM(P26:AC26)</f>
        <v>79</v>
      </c>
      <c r="AE26" s="9" t="str">
        <f aca="false">IF(AD26&gt;=78,"Tier 1 Named",IF(AD26&gt;=68,"Tier 2 Priority",IF(AD26&gt;=58,"Tier 3 Volume",IF(AD26&gt;=45,"Nurture","Disqualify"))))</f>
        <v>Tier 1 Named</v>
      </c>
      <c r="AF26" s="4" t="n">
        <v>1</v>
      </c>
      <c r="AG26" s="6" t="s">
        <v>268</v>
      </c>
    </row>
    <row r="27" customFormat="false" ht="91.5" hidden="false" customHeight="true" outlineLevel="0" collapsed="false">
      <c r="A27" s="4" t="n">
        <v>23</v>
      </c>
      <c r="B27" s="5" t="s">
        <v>269</v>
      </c>
      <c r="C27" s="5" t="s">
        <v>36</v>
      </c>
      <c r="D27" s="4" t="s">
        <v>37</v>
      </c>
      <c r="E27" s="5" t="s">
        <v>38</v>
      </c>
      <c r="F27" s="5" t="s">
        <v>270</v>
      </c>
      <c r="G27" s="5" t="s">
        <v>40</v>
      </c>
      <c r="H27" s="6" t="s">
        <v>271</v>
      </c>
      <c r="I27" s="6" t="s">
        <v>272</v>
      </c>
      <c r="J27" s="5" t="s">
        <v>273</v>
      </c>
      <c r="K27" s="5" t="s">
        <v>44</v>
      </c>
      <c r="L27" s="6" t="s">
        <v>45</v>
      </c>
      <c r="M27" s="6" t="s">
        <v>274</v>
      </c>
      <c r="N27" s="6" t="s">
        <v>275</v>
      </c>
      <c r="O27" s="5" t="s">
        <v>48</v>
      </c>
      <c r="P27" s="4" t="n">
        <v>12</v>
      </c>
      <c r="Q27" s="4" t="n">
        <v>10</v>
      </c>
      <c r="R27" s="4" t="n">
        <v>3</v>
      </c>
      <c r="S27" s="4" t="n">
        <v>7</v>
      </c>
      <c r="T27" s="4" t="n">
        <v>10</v>
      </c>
      <c r="U27" s="4" t="n">
        <v>4</v>
      </c>
      <c r="V27" s="4" t="n">
        <v>5</v>
      </c>
      <c r="W27" s="4" t="n">
        <v>7</v>
      </c>
      <c r="X27" s="4" t="n">
        <v>0</v>
      </c>
      <c r="Y27" s="4" t="n">
        <v>6</v>
      </c>
      <c r="Z27" s="4" t="n">
        <v>5</v>
      </c>
      <c r="AA27" s="7" t="n">
        <v>5</v>
      </c>
      <c r="AB27" s="7" t="n">
        <v>2</v>
      </c>
      <c r="AC27" s="4" t="n">
        <v>3</v>
      </c>
      <c r="AD27" s="8" t="n">
        <f aca="false">SUM(P27:AC27)</f>
        <v>79</v>
      </c>
      <c r="AE27" s="9" t="str">
        <f aca="false">IF(AD27&gt;=78,"Tier 1 Named",IF(AD27&gt;=68,"Tier 2 Priority",IF(AD27&gt;=58,"Tier 3 Volume",IF(AD27&gt;=45,"Nurture","Disqualify"))))</f>
        <v>Tier 1 Named</v>
      </c>
      <c r="AF27" s="4" t="n">
        <v>1</v>
      </c>
      <c r="AG27" s="6" t="s">
        <v>276</v>
      </c>
    </row>
    <row r="28" customFormat="false" ht="91.5" hidden="false" customHeight="true" outlineLevel="0" collapsed="false">
      <c r="A28" s="4" t="n">
        <v>24</v>
      </c>
      <c r="B28" s="5" t="s">
        <v>277</v>
      </c>
      <c r="C28" s="5" t="s">
        <v>118</v>
      </c>
      <c r="D28" s="4" t="s">
        <v>212</v>
      </c>
      <c r="E28" s="5" t="s">
        <v>106</v>
      </c>
      <c r="F28" s="5" t="s">
        <v>120</v>
      </c>
      <c r="G28" s="5" t="s">
        <v>40</v>
      </c>
      <c r="H28" s="6" t="s">
        <v>278</v>
      </c>
      <c r="I28" s="6" t="s">
        <v>279</v>
      </c>
      <c r="J28" s="5" t="s">
        <v>280</v>
      </c>
      <c r="K28" s="5" t="s">
        <v>44</v>
      </c>
      <c r="L28" s="6" t="s">
        <v>281</v>
      </c>
      <c r="M28" s="6" t="s">
        <v>282</v>
      </c>
      <c r="N28" s="6" t="s">
        <v>283</v>
      </c>
      <c r="O28" s="5" t="s">
        <v>284</v>
      </c>
      <c r="P28" s="4" t="n">
        <v>12</v>
      </c>
      <c r="Q28" s="4" t="n">
        <v>8</v>
      </c>
      <c r="R28" s="4" t="n">
        <v>3</v>
      </c>
      <c r="S28" s="4" t="n">
        <v>7</v>
      </c>
      <c r="T28" s="4" t="n">
        <v>10</v>
      </c>
      <c r="U28" s="4" t="n">
        <v>4</v>
      </c>
      <c r="V28" s="4" t="n">
        <v>7</v>
      </c>
      <c r="W28" s="4" t="n">
        <v>2</v>
      </c>
      <c r="X28" s="4" t="n">
        <v>4</v>
      </c>
      <c r="Y28" s="4" t="n">
        <v>6</v>
      </c>
      <c r="Z28" s="4" t="n">
        <v>5</v>
      </c>
      <c r="AA28" s="7" t="n">
        <v>5</v>
      </c>
      <c r="AB28" s="7" t="n">
        <v>2</v>
      </c>
      <c r="AC28" s="4" t="n">
        <v>3</v>
      </c>
      <c r="AD28" s="8" t="n">
        <f aca="false">SUM(P28:AC28)</f>
        <v>78</v>
      </c>
      <c r="AE28" s="9" t="str">
        <f aca="false">IF(AD28&gt;=78,"Tier 1 Named",IF(AD28&gt;=68,"Tier 2 Priority",IF(AD28&gt;=58,"Tier 3 Volume",IF(AD28&gt;=45,"Nurture","Disqualify"))))</f>
        <v>Tier 1 Named</v>
      </c>
      <c r="AF28" s="4" t="n">
        <v>2</v>
      </c>
      <c r="AG28" s="6"/>
    </row>
    <row r="29" customFormat="false" ht="91.5" hidden="false" customHeight="true" outlineLevel="0" collapsed="false">
      <c r="A29" s="4" t="n">
        <v>25</v>
      </c>
      <c r="B29" s="5" t="s">
        <v>285</v>
      </c>
      <c r="C29" s="5" t="s">
        <v>222</v>
      </c>
      <c r="D29" s="4" t="s">
        <v>200</v>
      </c>
      <c r="E29" s="5" t="s">
        <v>38</v>
      </c>
      <c r="F29" s="5" t="s">
        <v>286</v>
      </c>
      <c r="G29" s="5" t="s">
        <v>40</v>
      </c>
      <c r="H29" s="6" t="s">
        <v>287</v>
      </c>
      <c r="I29" s="6" t="s">
        <v>288</v>
      </c>
      <c r="J29" s="5" t="s">
        <v>289</v>
      </c>
      <c r="K29" s="5" t="s">
        <v>205</v>
      </c>
      <c r="L29" s="6" t="s">
        <v>290</v>
      </c>
      <c r="M29" s="6" t="s">
        <v>291</v>
      </c>
      <c r="N29" s="6" t="s">
        <v>292</v>
      </c>
      <c r="O29" s="5" t="s">
        <v>293</v>
      </c>
      <c r="P29" s="4" t="n">
        <v>12</v>
      </c>
      <c r="Q29" s="4" t="n">
        <v>10</v>
      </c>
      <c r="R29" s="4" t="n">
        <v>3</v>
      </c>
      <c r="S29" s="4" t="n">
        <v>7</v>
      </c>
      <c r="T29" s="4" t="n">
        <v>10</v>
      </c>
      <c r="U29" s="4" t="n">
        <v>6</v>
      </c>
      <c r="V29" s="4" t="n">
        <v>3</v>
      </c>
      <c r="W29" s="4" t="n">
        <v>4</v>
      </c>
      <c r="X29" s="4" t="n">
        <v>0</v>
      </c>
      <c r="Y29" s="4" t="n">
        <v>5</v>
      </c>
      <c r="Z29" s="4" t="n">
        <v>6</v>
      </c>
      <c r="AA29" s="7" t="n">
        <v>5</v>
      </c>
      <c r="AB29" s="7" t="n">
        <v>2</v>
      </c>
      <c r="AC29" s="4" t="n">
        <v>5</v>
      </c>
      <c r="AD29" s="8" t="n">
        <f aca="false">SUM(P29:AC29)</f>
        <v>78</v>
      </c>
      <c r="AE29" s="9" t="str">
        <f aca="false">IF(AD29&gt;=78,"Tier 1 Named",IF(AD29&gt;=68,"Tier 2 Priority",IF(AD29&gt;=58,"Tier 3 Volume",IF(AD29&gt;=45,"Nurture","Disqualify"))))</f>
        <v>Tier 1 Named</v>
      </c>
      <c r="AF29" s="4" t="n">
        <v>1</v>
      </c>
      <c r="AG29" s="6" t="s">
        <v>294</v>
      </c>
    </row>
    <row r="30" customFormat="false" ht="91.5" hidden="false" customHeight="true" outlineLevel="0" collapsed="false">
      <c r="A30" s="4" t="n">
        <v>26</v>
      </c>
      <c r="B30" s="5" t="s">
        <v>295</v>
      </c>
      <c r="C30" s="5" t="s">
        <v>296</v>
      </c>
      <c r="D30" s="4" t="s">
        <v>37</v>
      </c>
      <c r="E30" s="5" t="s">
        <v>38</v>
      </c>
      <c r="F30" s="5" t="s">
        <v>120</v>
      </c>
      <c r="G30" s="5" t="s">
        <v>40</v>
      </c>
      <c r="H30" s="6" t="s">
        <v>297</v>
      </c>
      <c r="I30" s="6" t="s">
        <v>298</v>
      </c>
      <c r="J30" s="5" t="s">
        <v>299</v>
      </c>
      <c r="K30" s="5" t="s">
        <v>205</v>
      </c>
      <c r="L30" s="6" t="s">
        <v>300</v>
      </c>
      <c r="M30" s="6" t="s">
        <v>301</v>
      </c>
      <c r="N30" s="6" t="s">
        <v>302</v>
      </c>
      <c r="O30" s="5" t="s">
        <v>303</v>
      </c>
      <c r="P30" s="4" t="n">
        <v>12</v>
      </c>
      <c r="Q30" s="4" t="n">
        <v>10</v>
      </c>
      <c r="R30" s="4" t="n">
        <v>3</v>
      </c>
      <c r="S30" s="4" t="n">
        <v>5</v>
      </c>
      <c r="T30" s="4" t="n">
        <v>10</v>
      </c>
      <c r="U30" s="4" t="n">
        <v>2</v>
      </c>
      <c r="V30" s="4" t="n">
        <v>8</v>
      </c>
      <c r="W30" s="4" t="n">
        <v>7</v>
      </c>
      <c r="X30" s="4" t="n">
        <v>0</v>
      </c>
      <c r="Y30" s="4" t="n">
        <v>6</v>
      </c>
      <c r="Z30" s="4" t="n">
        <v>3</v>
      </c>
      <c r="AA30" s="7" t="n">
        <v>5</v>
      </c>
      <c r="AB30" s="7" t="n">
        <v>2</v>
      </c>
      <c r="AC30" s="4" t="n">
        <v>5</v>
      </c>
      <c r="AD30" s="8" t="n">
        <f aca="false">SUM(P30:AC30)</f>
        <v>78</v>
      </c>
      <c r="AE30" s="9" t="str">
        <f aca="false">IF(AD30&gt;=78,"Tier 1 Named",IF(AD30&gt;=68,"Tier 2 Priority",IF(AD30&gt;=58,"Tier 3 Volume",IF(AD30&gt;=45,"Nurture","Disqualify"))))</f>
        <v>Tier 1 Named</v>
      </c>
      <c r="AF30" s="4" t="n">
        <v>2</v>
      </c>
      <c r="AG30" s="6" t="s">
        <v>304</v>
      </c>
    </row>
    <row r="31" customFormat="false" ht="91.5" hidden="false" customHeight="true" outlineLevel="0" collapsed="false">
      <c r="A31" s="4" t="n">
        <v>27</v>
      </c>
      <c r="B31" s="5" t="s">
        <v>305</v>
      </c>
      <c r="C31" s="5" t="s">
        <v>222</v>
      </c>
      <c r="D31" s="4" t="s">
        <v>37</v>
      </c>
      <c r="E31" s="5" t="s">
        <v>106</v>
      </c>
      <c r="F31" s="5" t="s">
        <v>76</v>
      </c>
      <c r="G31" s="5" t="s">
        <v>40</v>
      </c>
      <c r="H31" s="6" t="s">
        <v>306</v>
      </c>
      <c r="I31" s="6" t="s">
        <v>307</v>
      </c>
      <c r="J31" s="5" t="s">
        <v>308</v>
      </c>
      <c r="K31" s="5" t="s">
        <v>44</v>
      </c>
      <c r="L31" s="6" t="s">
        <v>309</v>
      </c>
      <c r="M31" s="6" t="s">
        <v>310</v>
      </c>
      <c r="N31" s="6" t="s">
        <v>311</v>
      </c>
      <c r="O31" s="5" t="s">
        <v>229</v>
      </c>
      <c r="P31" s="4" t="n">
        <v>12</v>
      </c>
      <c r="Q31" s="4" t="n">
        <v>8</v>
      </c>
      <c r="R31" s="4" t="n">
        <v>3</v>
      </c>
      <c r="S31" s="4" t="n">
        <v>7</v>
      </c>
      <c r="T31" s="4" t="n">
        <v>10</v>
      </c>
      <c r="U31" s="4" t="n">
        <v>4</v>
      </c>
      <c r="V31" s="4" t="n">
        <v>8</v>
      </c>
      <c r="W31" s="4" t="n">
        <v>7</v>
      </c>
      <c r="X31" s="4" t="n">
        <v>0</v>
      </c>
      <c r="Y31" s="4" t="n">
        <v>6</v>
      </c>
      <c r="Z31" s="4" t="n">
        <v>3</v>
      </c>
      <c r="AA31" s="7" t="n">
        <v>5</v>
      </c>
      <c r="AB31" s="7" t="n">
        <v>2</v>
      </c>
      <c r="AC31" s="4" t="n">
        <v>3</v>
      </c>
      <c r="AD31" s="8" t="n">
        <f aca="false">SUM(P31:AC31)</f>
        <v>78</v>
      </c>
      <c r="AE31" s="9" t="str">
        <f aca="false">IF(AD31&gt;=78,"Tier 1 Named",IF(AD31&gt;=68,"Tier 2 Priority",IF(AD31&gt;=58,"Tier 3 Volume",IF(AD31&gt;=45,"Nurture","Disqualify"))))</f>
        <v>Tier 1 Named</v>
      </c>
      <c r="AF31" s="4" t="n">
        <v>1</v>
      </c>
      <c r="AG31" s="6" t="s">
        <v>312</v>
      </c>
    </row>
    <row r="32" customFormat="false" ht="91.5" hidden="false" customHeight="true" outlineLevel="0" collapsed="false">
      <c r="A32" s="4" t="n">
        <v>28</v>
      </c>
      <c r="B32" s="5" t="s">
        <v>313</v>
      </c>
      <c r="C32" s="5" t="s">
        <v>188</v>
      </c>
      <c r="D32" s="4" t="s">
        <v>189</v>
      </c>
      <c r="E32" s="5" t="s">
        <v>38</v>
      </c>
      <c r="F32" s="5" t="s">
        <v>286</v>
      </c>
      <c r="G32" s="5" t="s">
        <v>40</v>
      </c>
      <c r="H32" s="6" t="s">
        <v>314</v>
      </c>
      <c r="I32" s="6" t="s">
        <v>315</v>
      </c>
      <c r="J32" s="5" t="s">
        <v>316</v>
      </c>
      <c r="K32" s="5" t="s">
        <v>111</v>
      </c>
      <c r="L32" s="6" t="s">
        <v>317</v>
      </c>
      <c r="M32" s="6" t="s">
        <v>318</v>
      </c>
      <c r="N32" s="6" t="s">
        <v>319</v>
      </c>
      <c r="O32" s="5" t="s">
        <v>320</v>
      </c>
      <c r="P32" s="4" t="n">
        <v>12</v>
      </c>
      <c r="Q32" s="4" t="n">
        <v>10</v>
      </c>
      <c r="R32" s="4" t="n">
        <v>3</v>
      </c>
      <c r="S32" s="4" t="n">
        <v>7</v>
      </c>
      <c r="T32" s="4" t="n">
        <v>10</v>
      </c>
      <c r="U32" s="4" t="n">
        <v>4</v>
      </c>
      <c r="V32" s="4" t="n">
        <v>5</v>
      </c>
      <c r="W32" s="4" t="n">
        <v>4</v>
      </c>
      <c r="X32" s="4" t="n">
        <v>5</v>
      </c>
      <c r="Y32" s="4" t="n">
        <v>2</v>
      </c>
      <c r="Z32" s="4" t="n">
        <v>5</v>
      </c>
      <c r="AA32" s="7" t="n">
        <v>5</v>
      </c>
      <c r="AB32" s="7" t="n">
        <v>2</v>
      </c>
      <c r="AC32" s="4" t="n">
        <v>3</v>
      </c>
      <c r="AD32" s="8" t="n">
        <f aca="false">SUM(P32:AC32)</f>
        <v>77</v>
      </c>
      <c r="AE32" s="9" t="str">
        <f aca="false">IF(AD32&gt;=78,"Tier 1 Named",IF(AD32&gt;=68,"Tier 2 Priority",IF(AD32&gt;=58,"Tier 3 Volume",IF(AD32&gt;=45,"Nurture","Disqualify"))))</f>
        <v>Tier 2 Priority</v>
      </c>
      <c r="AF32" s="4" t="n">
        <v>1</v>
      </c>
      <c r="AG32" s="6" t="s">
        <v>321</v>
      </c>
    </row>
    <row r="33" customFormat="false" ht="91.5" hidden="false" customHeight="true" outlineLevel="0" collapsed="false">
      <c r="A33" s="4" t="n">
        <v>29</v>
      </c>
      <c r="B33" s="5" t="s">
        <v>322</v>
      </c>
      <c r="C33" s="5" t="s">
        <v>118</v>
      </c>
      <c r="D33" s="4" t="s">
        <v>323</v>
      </c>
      <c r="E33" s="5" t="s">
        <v>38</v>
      </c>
      <c r="F33" s="5" t="s">
        <v>324</v>
      </c>
      <c r="G33" s="5" t="s">
        <v>260</v>
      </c>
      <c r="H33" s="6" t="s">
        <v>325</v>
      </c>
      <c r="I33" s="6" t="s">
        <v>326</v>
      </c>
      <c r="J33" s="5" t="s">
        <v>327</v>
      </c>
      <c r="K33" s="5" t="s">
        <v>174</v>
      </c>
      <c r="L33" s="6" t="s">
        <v>328</v>
      </c>
      <c r="M33" s="6" t="s">
        <v>329</v>
      </c>
      <c r="N33" s="6" t="s">
        <v>330</v>
      </c>
      <c r="O33" s="5" t="s">
        <v>331</v>
      </c>
      <c r="P33" s="4" t="n">
        <v>12</v>
      </c>
      <c r="Q33" s="4" t="n">
        <v>10</v>
      </c>
      <c r="R33" s="4" t="n">
        <v>3</v>
      </c>
      <c r="S33" s="4" t="n">
        <v>4</v>
      </c>
      <c r="T33" s="4" t="n">
        <v>8</v>
      </c>
      <c r="U33" s="4" t="n">
        <v>2</v>
      </c>
      <c r="V33" s="4" t="n">
        <v>8</v>
      </c>
      <c r="W33" s="4" t="n">
        <v>4</v>
      </c>
      <c r="X33" s="4" t="n">
        <v>5</v>
      </c>
      <c r="Y33" s="4" t="n">
        <v>6</v>
      </c>
      <c r="Z33" s="4" t="n">
        <v>3</v>
      </c>
      <c r="AA33" s="7" t="n">
        <v>5</v>
      </c>
      <c r="AB33" s="7" t="n">
        <v>2</v>
      </c>
      <c r="AC33" s="4" t="n">
        <v>5</v>
      </c>
      <c r="AD33" s="8" t="n">
        <f aca="false">SUM(P33:AC33)</f>
        <v>77</v>
      </c>
      <c r="AE33" s="9" t="str">
        <f aca="false">IF(AD33&gt;=78,"Tier 1 Named",IF(AD33&gt;=68,"Tier 2 Priority",IF(AD33&gt;=58,"Tier 3 Volume",IF(AD33&gt;=45,"Nurture","Disqualify"))))</f>
        <v>Tier 2 Priority</v>
      </c>
      <c r="AF33" s="4" t="n">
        <v>2</v>
      </c>
      <c r="AG33" s="6" t="s">
        <v>332</v>
      </c>
    </row>
    <row r="34" customFormat="false" ht="91.5" hidden="false" customHeight="true" outlineLevel="0" collapsed="false">
      <c r="A34" s="4" t="n">
        <v>30</v>
      </c>
      <c r="B34" s="5" t="s">
        <v>333</v>
      </c>
      <c r="C34" s="5" t="s">
        <v>222</v>
      </c>
      <c r="D34" s="4" t="s">
        <v>37</v>
      </c>
      <c r="E34" s="5" t="s">
        <v>38</v>
      </c>
      <c r="F34" s="5" t="s">
        <v>120</v>
      </c>
      <c r="G34" s="5" t="s">
        <v>40</v>
      </c>
      <c r="H34" s="6" t="s">
        <v>334</v>
      </c>
      <c r="I34" s="6" t="s">
        <v>335</v>
      </c>
      <c r="J34" s="5" t="s">
        <v>336</v>
      </c>
      <c r="K34" s="5" t="s">
        <v>67</v>
      </c>
      <c r="L34" s="6" t="s">
        <v>337</v>
      </c>
      <c r="M34" s="6" t="s">
        <v>338</v>
      </c>
      <c r="N34" s="6" t="s">
        <v>339</v>
      </c>
      <c r="O34" s="5" t="s">
        <v>340</v>
      </c>
      <c r="P34" s="4" t="n">
        <v>12</v>
      </c>
      <c r="Q34" s="4" t="n">
        <v>10</v>
      </c>
      <c r="R34" s="4" t="n">
        <v>3</v>
      </c>
      <c r="S34" s="4" t="n">
        <v>5</v>
      </c>
      <c r="T34" s="4" t="n">
        <v>10</v>
      </c>
      <c r="U34" s="4" t="n">
        <v>2</v>
      </c>
      <c r="V34" s="4" t="n">
        <v>8</v>
      </c>
      <c r="W34" s="4" t="n">
        <v>6</v>
      </c>
      <c r="X34" s="4" t="n">
        <v>0</v>
      </c>
      <c r="Y34" s="4" t="n">
        <v>6</v>
      </c>
      <c r="Z34" s="4" t="n">
        <v>3</v>
      </c>
      <c r="AA34" s="7" t="n">
        <v>5</v>
      </c>
      <c r="AB34" s="7" t="n">
        <v>2</v>
      </c>
      <c r="AC34" s="4" t="n">
        <v>5</v>
      </c>
      <c r="AD34" s="8" t="n">
        <f aca="false">SUM(P34:AC34)</f>
        <v>77</v>
      </c>
      <c r="AE34" s="9" t="str">
        <f aca="false">IF(AD34&gt;=78,"Tier 1 Named",IF(AD34&gt;=68,"Tier 2 Priority",IF(AD34&gt;=58,"Tier 3 Volume",IF(AD34&gt;=45,"Nurture","Disqualify"))))</f>
        <v>Tier 2 Priority</v>
      </c>
      <c r="AF34" s="4" t="n">
        <v>1</v>
      </c>
      <c r="AG34" s="6" t="s">
        <v>341</v>
      </c>
    </row>
    <row r="35" customFormat="false" ht="91.5" hidden="false" customHeight="true" outlineLevel="0" collapsed="false">
      <c r="A35" s="4" t="n">
        <v>31</v>
      </c>
      <c r="B35" s="5" t="s">
        <v>342</v>
      </c>
      <c r="C35" s="5" t="s">
        <v>188</v>
      </c>
      <c r="D35" s="4" t="s">
        <v>259</v>
      </c>
      <c r="E35" s="5" t="s">
        <v>343</v>
      </c>
      <c r="F35" s="5" t="s">
        <v>63</v>
      </c>
      <c r="G35" s="5" t="s">
        <v>260</v>
      </c>
      <c r="H35" s="6" t="s">
        <v>344</v>
      </c>
      <c r="I35" s="6" t="s">
        <v>345</v>
      </c>
      <c r="J35" s="5" t="s">
        <v>346</v>
      </c>
      <c r="K35" s="5" t="s">
        <v>347</v>
      </c>
      <c r="L35" s="6" t="s">
        <v>194</v>
      </c>
      <c r="M35" s="6" t="s">
        <v>348</v>
      </c>
      <c r="N35" s="6" t="s">
        <v>349</v>
      </c>
      <c r="O35" s="5" t="s">
        <v>197</v>
      </c>
      <c r="P35" s="4" t="n">
        <v>12</v>
      </c>
      <c r="Q35" s="4" t="n">
        <v>5</v>
      </c>
      <c r="R35" s="4" t="n">
        <v>2</v>
      </c>
      <c r="S35" s="4" t="n">
        <v>8</v>
      </c>
      <c r="T35" s="4" t="n">
        <v>10</v>
      </c>
      <c r="U35" s="4" t="n">
        <v>6</v>
      </c>
      <c r="V35" s="4" t="n">
        <v>7</v>
      </c>
      <c r="W35" s="4" t="n">
        <v>6</v>
      </c>
      <c r="X35" s="4" t="n">
        <v>5</v>
      </c>
      <c r="Y35" s="4" t="n">
        <v>2</v>
      </c>
      <c r="Z35" s="4" t="n">
        <v>6</v>
      </c>
      <c r="AA35" s="7" t="n">
        <v>5</v>
      </c>
      <c r="AB35" s="7" t="n">
        <v>2</v>
      </c>
      <c r="AC35" s="4" t="n">
        <v>1</v>
      </c>
      <c r="AD35" s="8" t="n">
        <f aca="false">SUM(P35:AC35)</f>
        <v>77</v>
      </c>
      <c r="AE35" s="9" t="str">
        <f aca="false">IF(AD35&gt;=78,"Tier 1 Named",IF(AD35&gt;=68,"Tier 2 Priority",IF(AD35&gt;=58,"Tier 3 Volume",IF(AD35&gt;=45,"Nurture","Disqualify"))))</f>
        <v>Tier 2 Priority</v>
      </c>
      <c r="AF35" s="4" t="n">
        <v>1</v>
      </c>
      <c r="AG35" s="6" t="s">
        <v>350</v>
      </c>
    </row>
    <row r="36" customFormat="false" ht="91.5" hidden="false" customHeight="true" outlineLevel="0" collapsed="false">
      <c r="A36" s="4" t="n">
        <v>32</v>
      </c>
      <c r="B36" s="5" t="s">
        <v>351</v>
      </c>
      <c r="C36" s="5" t="s">
        <v>62</v>
      </c>
      <c r="D36" s="4" t="s">
        <v>37</v>
      </c>
      <c r="E36" s="5" t="s">
        <v>38</v>
      </c>
      <c r="F36" s="5" t="s">
        <v>63</v>
      </c>
      <c r="G36" s="5" t="s">
        <v>40</v>
      </c>
      <c r="H36" s="6" t="s">
        <v>352</v>
      </c>
      <c r="I36" s="6" t="s">
        <v>353</v>
      </c>
      <c r="J36" s="5" t="s">
        <v>354</v>
      </c>
      <c r="K36" s="5" t="s">
        <v>205</v>
      </c>
      <c r="L36" s="6" t="s">
        <v>355</v>
      </c>
      <c r="M36" s="6" t="s">
        <v>356</v>
      </c>
      <c r="N36" s="6" t="s">
        <v>357</v>
      </c>
      <c r="O36" s="5" t="s">
        <v>358</v>
      </c>
      <c r="P36" s="4" t="n">
        <v>12</v>
      </c>
      <c r="Q36" s="4" t="n">
        <v>10</v>
      </c>
      <c r="R36" s="4" t="n">
        <v>3</v>
      </c>
      <c r="S36" s="4" t="n">
        <v>5</v>
      </c>
      <c r="T36" s="4" t="n">
        <v>8</v>
      </c>
      <c r="U36" s="4" t="n">
        <v>4</v>
      </c>
      <c r="V36" s="4" t="n">
        <v>7</v>
      </c>
      <c r="W36" s="4" t="n">
        <v>2</v>
      </c>
      <c r="X36" s="4" t="n">
        <v>4</v>
      </c>
      <c r="Y36" s="4" t="n">
        <v>5</v>
      </c>
      <c r="Z36" s="4" t="n">
        <v>5</v>
      </c>
      <c r="AA36" s="7" t="n">
        <v>5</v>
      </c>
      <c r="AB36" s="7" t="n">
        <v>2</v>
      </c>
      <c r="AC36" s="4" t="n">
        <v>5</v>
      </c>
      <c r="AD36" s="8" t="n">
        <f aca="false">SUM(P36:AC36)</f>
        <v>77</v>
      </c>
      <c r="AE36" s="9" t="str">
        <f aca="false">IF(AD36&gt;=78,"Tier 1 Named",IF(AD36&gt;=68,"Tier 2 Priority",IF(AD36&gt;=58,"Tier 3 Volume",IF(AD36&gt;=45,"Nurture","Disqualify"))))</f>
        <v>Tier 2 Priority</v>
      </c>
      <c r="AF36" s="4" t="n">
        <v>2</v>
      </c>
      <c r="AG36" s="6" t="s">
        <v>359</v>
      </c>
    </row>
    <row r="37" customFormat="false" ht="91.5" hidden="false" customHeight="true" outlineLevel="0" collapsed="false">
      <c r="A37" s="4" t="n">
        <v>33</v>
      </c>
      <c r="B37" s="5" t="s">
        <v>360</v>
      </c>
      <c r="C37" s="5" t="s">
        <v>118</v>
      </c>
      <c r="D37" s="4" t="s">
        <v>361</v>
      </c>
      <c r="E37" s="5" t="s">
        <v>106</v>
      </c>
      <c r="F37" s="5" t="s">
        <v>39</v>
      </c>
      <c r="G37" s="5" t="s">
        <v>40</v>
      </c>
      <c r="H37" s="6" t="s">
        <v>362</v>
      </c>
      <c r="I37" s="6" t="s">
        <v>363</v>
      </c>
      <c r="J37" s="5" t="s">
        <v>364</v>
      </c>
      <c r="K37" s="5" t="s">
        <v>44</v>
      </c>
      <c r="L37" s="6" t="s">
        <v>365</v>
      </c>
      <c r="M37" s="6" t="s">
        <v>366</v>
      </c>
      <c r="N37" s="6" t="s">
        <v>367</v>
      </c>
      <c r="O37" s="5" t="s">
        <v>284</v>
      </c>
      <c r="P37" s="4" t="n">
        <v>12</v>
      </c>
      <c r="Q37" s="4" t="n">
        <v>8</v>
      </c>
      <c r="R37" s="4" t="n">
        <v>3</v>
      </c>
      <c r="S37" s="4" t="n">
        <v>7</v>
      </c>
      <c r="T37" s="4" t="n">
        <v>10</v>
      </c>
      <c r="U37" s="4" t="n">
        <v>4</v>
      </c>
      <c r="V37" s="4" t="n">
        <v>5</v>
      </c>
      <c r="W37" s="4" t="n">
        <v>2</v>
      </c>
      <c r="X37" s="4" t="n">
        <v>5</v>
      </c>
      <c r="Y37" s="4" t="n">
        <v>6</v>
      </c>
      <c r="Z37" s="4" t="n">
        <v>5</v>
      </c>
      <c r="AA37" s="7" t="n">
        <v>5</v>
      </c>
      <c r="AB37" s="7" t="n">
        <v>2</v>
      </c>
      <c r="AC37" s="4" t="n">
        <v>3</v>
      </c>
      <c r="AD37" s="8" t="n">
        <f aca="false">SUM(P37:AC37)</f>
        <v>77</v>
      </c>
      <c r="AE37" s="9" t="str">
        <f aca="false">IF(AD37&gt;=78,"Tier 1 Named",IF(AD37&gt;=68,"Tier 2 Priority",IF(AD37&gt;=58,"Tier 3 Volume",IF(AD37&gt;=45,"Nurture","Disqualify"))))</f>
        <v>Tier 2 Priority</v>
      </c>
      <c r="AF37" s="4" t="n">
        <v>1</v>
      </c>
      <c r="AG37" s="6"/>
    </row>
    <row r="38" customFormat="false" ht="91.5" hidden="false" customHeight="true" outlineLevel="0" collapsed="false">
      <c r="A38" s="4" t="n">
        <v>34</v>
      </c>
      <c r="B38" s="5" t="s">
        <v>368</v>
      </c>
      <c r="C38" s="5" t="s">
        <v>222</v>
      </c>
      <c r="D38" s="4" t="s">
        <v>37</v>
      </c>
      <c r="E38" s="5" t="s">
        <v>106</v>
      </c>
      <c r="F38" s="5" t="s">
        <v>130</v>
      </c>
      <c r="G38" s="5" t="s">
        <v>40</v>
      </c>
      <c r="H38" s="6" t="s">
        <v>369</v>
      </c>
      <c r="I38" s="6" t="s">
        <v>370</v>
      </c>
      <c r="J38" s="5" t="s">
        <v>371</v>
      </c>
      <c r="K38" s="5" t="s">
        <v>44</v>
      </c>
      <c r="L38" s="6" t="s">
        <v>372</v>
      </c>
      <c r="M38" s="6" t="s">
        <v>373</v>
      </c>
      <c r="N38" s="6" t="s">
        <v>374</v>
      </c>
      <c r="O38" s="5" t="s">
        <v>375</v>
      </c>
      <c r="P38" s="4" t="n">
        <v>12</v>
      </c>
      <c r="Q38" s="4" t="n">
        <v>8</v>
      </c>
      <c r="R38" s="4" t="n">
        <v>3</v>
      </c>
      <c r="S38" s="4" t="n">
        <v>8</v>
      </c>
      <c r="T38" s="4" t="n">
        <v>10</v>
      </c>
      <c r="U38" s="4" t="n">
        <v>4</v>
      </c>
      <c r="V38" s="4" t="n">
        <v>8</v>
      </c>
      <c r="W38" s="4" t="n">
        <v>4</v>
      </c>
      <c r="X38" s="4" t="n">
        <v>0</v>
      </c>
      <c r="Y38" s="4" t="n">
        <v>5</v>
      </c>
      <c r="Z38" s="4" t="n">
        <v>5</v>
      </c>
      <c r="AA38" s="7" t="n">
        <v>5</v>
      </c>
      <c r="AB38" s="7" t="n">
        <v>2</v>
      </c>
      <c r="AC38" s="4" t="n">
        <v>3</v>
      </c>
      <c r="AD38" s="8" t="n">
        <f aca="false">SUM(P38:AC38)</f>
        <v>77</v>
      </c>
      <c r="AE38" s="9" t="str">
        <f aca="false">IF(AD38&gt;=78,"Tier 1 Named",IF(AD38&gt;=68,"Tier 2 Priority",IF(AD38&gt;=58,"Tier 3 Volume",IF(AD38&gt;=45,"Nurture","Disqualify"))))</f>
        <v>Tier 2 Priority</v>
      </c>
      <c r="AF38" s="4" t="n">
        <v>2</v>
      </c>
      <c r="AG38" s="6" t="s">
        <v>376</v>
      </c>
    </row>
    <row r="39" customFormat="false" ht="91.5" hidden="false" customHeight="true" outlineLevel="0" collapsed="false">
      <c r="A39" s="4" t="n">
        <v>35</v>
      </c>
      <c r="B39" s="5" t="s">
        <v>377</v>
      </c>
      <c r="C39" s="5" t="s">
        <v>378</v>
      </c>
      <c r="D39" s="4" t="s">
        <v>37</v>
      </c>
      <c r="E39" s="5" t="s">
        <v>38</v>
      </c>
      <c r="F39" s="5" t="s">
        <v>379</v>
      </c>
      <c r="G39" s="5" t="s">
        <v>40</v>
      </c>
      <c r="H39" s="6" t="s">
        <v>380</v>
      </c>
      <c r="I39" s="6" t="s">
        <v>381</v>
      </c>
      <c r="J39" s="5" t="s">
        <v>382</v>
      </c>
      <c r="K39" s="5" t="s">
        <v>111</v>
      </c>
      <c r="L39" s="6" t="s">
        <v>383</v>
      </c>
      <c r="M39" s="6" t="s">
        <v>384</v>
      </c>
      <c r="N39" s="6" t="s">
        <v>385</v>
      </c>
      <c r="O39" s="5" t="s">
        <v>386</v>
      </c>
      <c r="P39" s="4" t="n">
        <v>12</v>
      </c>
      <c r="Q39" s="4" t="n">
        <v>10</v>
      </c>
      <c r="R39" s="4" t="n">
        <v>3</v>
      </c>
      <c r="S39" s="4" t="n">
        <v>7</v>
      </c>
      <c r="T39" s="4" t="n">
        <v>8</v>
      </c>
      <c r="U39" s="4" t="n">
        <v>4</v>
      </c>
      <c r="V39" s="4" t="n">
        <v>7</v>
      </c>
      <c r="W39" s="4" t="n">
        <v>7</v>
      </c>
      <c r="X39" s="4" t="n">
        <v>0</v>
      </c>
      <c r="Y39" s="4" t="n">
        <v>5</v>
      </c>
      <c r="Z39" s="4" t="n">
        <v>3</v>
      </c>
      <c r="AA39" s="7" t="n">
        <v>5</v>
      </c>
      <c r="AB39" s="7" t="n">
        <v>2</v>
      </c>
      <c r="AC39" s="4" t="n">
        <v>3</v>
      </c>
      <c r="AD39" s="8" t="n">
        <f aca="false">SUM(P39:AC39)</f>
        <v>76</v>
      </c>
      <c r="AE39" s="9" t="str">
        <f aca="false">IF(AD39&gt;=78,"Tier 1 Named",IF(AD39&gt;=68,"Tier 2 Priority",IF(AD39&gt;=58,"Tier 3 Volume",IF(AD39&gt;=45,"Nurture","Disqualify"))))</f>
        <v>Tier 2 Priority</v>
      </c>
      <c r="AF39" s="4" t="n">
        <v>1</v>
      </c>
      <c r="AG39" s="6" t="s">
        <v>387</v>
      </c>
    </row>
    <row r="40" customFormat="false" ht="91.5" hidden="false" customHeight="true" outlineLevel="0" collapsed="false">
      <c r="A40" s="4" t="n">
        <v>36</v>
      </c>
      <c r="B40" s="5" t="s">
        <v>388</v>
      </c>
      <c r="C40" s="5" t="s">
        <v>118</v>
      </c>
      <c r="D40" s="4" t="s">
        <v>389</v>
      </c>
      <c r="E40" s="5" t="s">
        <v>38</v>
      </c>
      <c r="F40" s="5" t="s">
        <v>39</v>
      </c>
      <c r="G40" s="5" t="s">
        <v>40</v>
      </c>
      <c r="H40" s="6" t="s">
        <v>390</v>
      </c>
      <c r="I40" s="6" t="s">
        <v>391</v>
      </c>
      <c r="J40" s="5" t="s">
        <v>392</v>
      </c>
      <c r="K40" s="5" t="s">
        <v>205</v>
      </c>
      <c r="L40" s="6" t="s">
        <v>393</v>
      </c>
      <c r="M40" s="6" t="s">
        <v>394</v>
      </c>
      <c r="N40" s="6" t="s">
        <v>395</v>
      </c>
      <c r="O40" s="5" t="s">
        <v>71</v>
      </c>
      <c r="P40" s="4" t="n">
        <v>12</v>
      </c>
      <c r="Q40" s="4" t="n">
        <v>10</v>
      </c>
      <c r="R40" s="4" t="n">
        <v>3</v>
      </c>
      <c r="S40" s="4" t="n">
        <v>4</v>
      </c>
      <c r="T40" s="4" t="n">
        <v>8</v>
      </c>
      <c r="U40" s="4" t="n">
        <v>4</v>
      </c>
      <c r="V40" s="4" t="n">
        <v>7</v>
      </c>
      <c r="W40" s="4" t="n">
        <v>2</v>
      </c>
      <c r="X40" s="4" t="n">
        <v>4</v>
      </c>
      <c r="Y40" s="4" t="n">
        <v>5</v>
      </c>
      <c r="Z40" s="4" t="n">
        <v>5</v>
      </c>
      <c r="AA40" s="7" t="n">
        <v>5</v>
      </c>
      <c r="AB40" s="7" t="n">
        <v>2</v>
      </c>
      <c r="AC40" s="4" t="n">
        <v>5</v>
      </c>
      <c r="AD40" s="8" t="n">
        <f aca="false">SUM(P40:AC40)</f>
        <v>76</v>
      </c>
      <c r="AE40" s="9" t="str">
        <f aca="false">IF(AD40&gt;=78,"Tier 1 Named",IF(AD40&gt;=68,"Tier 2 Priority",IF(AD40&gt;=58,"Tier 3 Volume",IF(AD40&gt;=45,"Nurture","Disqualify"))))</f>
        <v>Tier 2 Priority</v>
      </c>
      <c r="AF40" s="4" t="n">
        <v>2</v>
      </c>
      <c r="AG40" s="6" t="s">
        <v>396</v>
      </c>
    </row>
    <row r="41" customFormat="false" ht="91.5" hidden="false" customHeight="true" outlineLevel="0" collapsed="false">
      <c r="A41" s="4" t="n">
        <v>37</v>
      </c>
      <c r="B41" s="5" t="s">
        <v>397</v>
      </c>
      <c r="C41" s="5" t="s">
        <v>51</v>
      </c>
      <c r="D41" s="4" t="s">
        <v>37</v>
      </c>
      <c r="E41" s="5" t="s">
        <v>343</v>
      </c>
      <c r="F41" s="5" t="s">
        <v>87</v>
      </c>
      <c r="G41" s="5" t="s">
        <v>40</v>
      </c>
      <c r="H41" s="6" t="s">
        <v>398</v>
      </c>
      <c r="I41" s="6" t="s">
        <v>399</v>
      </c>
      <c r="J41" s="5" t="s">
        <v>400</v>
      </c>
      <c r="K41" s="5" t="s">
        <v>80</v>
      </c>
      <c r="L41" s="6" t="s">
        <v>145</v>
      </c>
      <c r="M41" s="6" t="s">
        <v>401</v>
      </c>
      <c r="N41" s="6" t="s">
        <v>402</v>
      </c>
      <c r="O41" s="5" t="s">
        <v>403</v>
      </c>
      <c r="P41" s="4" t="n">
        <v>12</v>
      </c>
      <c r="Q41" s="4" t="n">
        <v>5</v>
      </c>
      <c r="R41" s="4" t="n">
        <v>2</v>
      </c>
      <c r="S41" s="4" t="n">
        <v>8</v>
      </c>
      <c r="T41" s="4" t="n">
        <v>10</v>
      </c>
      <c r="U41" s="4" t="n">
        <v>4</v>
      </c>
      <c r="V41" s="4" t="n">
        <v>8</v>
      </c>
      <c r="W41" s="4" t="n">
        <v>7</v>
      </c>
      <c r="X41" s="4" t="n">
        <v>0</v>
      </c>
      <c r="Y41" s="4" t="n">
        <v>6</v>
      </c>
      <c r="Z41" s="4" t="n">
        <v>6</v>
      </c>
      <c r="AA41" s="7" t="n">
        <v>5</v>
      </c>
      <c r="AB41" s="7" t="n">
        <v>2</v>
      </c>
      <c r="AC41" s="4" t="n">
        <v>1</v>
      </c>
      <c r="AD41" s="8" t="n">
        <f aca="false">SUM(P41:AC41)</f>
        <v>76</v>
      </c>
      <c r="AE41" s="9" t="str">
        <f aca="false">IF(AD41&gt;=78,"Tier 1 Named",IF(AD41&gt;=68,"Tier 2 Priority",IF(AD41&gt;=58,"Tier 3 Volume",IF(AD41&gt;=45,"Nurture","Disqualify"))))</f>
        <v>Tier 2 Priority</v>
      </c>
      <c r="AF41" s="4" t="n">
        <v>1</v>
      </c>
      <c r="AG41" s="6" t="s">
        <v>404</v>
      </c>
    </row>
    <row r="42" customFormat="false" ht="91.5" hidden="false" customHeight="true" outlineLevel="0" collapsed="false">
      <c r="A42" s="4" t="n">
        <v>38</v>
      </c>
      <c r="B42" s="5" t="s">
        <v>405</v>
      </c>
      <c r="C42" s="5" t="s">
        <v>222</v>
      </c>
      <c r="D42" s="4" t="s">
        <v>37</v>
      </c>
      <c r="E42" s="5" t="s">
        <v>343</v>
      </c>
      <c r="F42" s="5" t="s">
        <v>151</v>
      </c>
      <c r="G42" s="5" t="s">
        <v>40</v>
      </c>
      <c r="H42" s="6" t="s">
        <v>406</v>
      </c>
      <c r="I42" s="6" t="s">
        <v>407</v>
      </c>
      <c r="J42" s="5" t="s">
        <v>408</v>
      </c>
      <c r="K42" s="5" t="s">
        <v>144</v>
      </c>
      <c r="L42" s="6" t="s">
        <v>409</v>
      </c>
      <c r="M42" s="6" t="s">
        <v>410</v>
      </c>
      <c r="N42" s="6" t="s">
        <v>411</v>
      </c>
      <c r="O42" s="5" t="s">
        <v>412</v>
      </c>
      <c r="P42" s="4" t="n">
        <v>12</v>
      </c>
      <c r="Q42" s="4" t="n">
        <v>5</v>
      </c>
      <c r="R42" s="4" t="n">
        <v>2</v>
      </c>
      <c r="S42" s="4" t="n">
        <v>8</v>
      </c>
      <c r="T42" s="4" t="n">
        <v>10</v>
      </c>
      <c r="U42" s="4" t="n">
        <v>6</v>
      </c>
      <c r="V42" s="4" t="n">
        <v>8</v>
      </c>
      <c r="W42" s="4" t="n">
        <v>6</v>
      </c>
      <c r="X42" s="4" t="n">
        <v>0</v>
      </c>
      <c r="Y42" s="4" t="n">
        <v>5</v>
      </c>
      <c r="Z42" s="4" t="n">
        <v>6</v>
      </c>
      <c r="AA42" s="7" t="n">
        <v>5</v>
      </c>
      <c r="AB42" s="7" t="n">
        <v>2</v>
      </c>
      <c r="AC42" s="4" t="n">
        <v>1</v>
      </c>
      <c r="AD42" s="8" t="n">
        <f aca="false">SUM(P42:AC42)</f>
        <v>76</v>
      </c>
      <c r="AE42" s="9" t="str">
        <f aca="false">IF(AD42&gt;=78,"Tier 1 Named",IF(AD42&gt;=68,"Tier 2 Priority",IF(AD42&gt;=58,"Tier 3 Volume",IF(AD42&gt;=45,"Nurture","Disqualify"))))</f>
        <v>Tier 2 Priority</v>
      </c>
      <c r="AF42" s="4" t="n">
        <v>2</v>
      </c>
      <c r="AG42" s="6" t="s">
        <v>413</v>
      </c>
    </row>
    <row r="43" customFormat="false" ht="91.5" hidden="false" customHeight="true" outlineLevel="0" collapsed="false">
      <c r="A43" s="4" t="n">
        <v>39</v>
      </c>
      <c r="B43" s="5" t="s">
        <v>414</v>
      </c>
      <c r="C43" s="5" t="s">
        <v>188</v>
      </c>
      <c r="D43" s="4" t="s">
        <v>189</v>
      </c>
      <c r="E43" s="5" t="s">
        <v>38</v>
      </c>
      <c r="F43" s="5" t="s">
        <v>63</v>
      </c>
      <c r="G43" s="5" t="s">
        <v>40</v>
      </c>
      <c r="H43" s="6" t="s">
        <v>415</v>
      </c>
      <c r="I43" s="6" t="s">
        <v>416</v>
      </c>
      <c r="J43" s="5" t="s">
        <v>417</v>
      </c>
      <c r="K43" s="5" t="s">
        <v>144</v>
      </c>
      <c r="L43" s="6" t="s">
        <v>418</v>
      </c>
      <c r="M43" s="6" t="s">
        <v>419</v>
      </c>
      <c r="N43" s="6" t="s">
        <v>420</v>
      </c>
      <c r="O43" s="5" t="s">
        <v>197</v>
      </c>
      <c r="P43" s="4" t="n">
        <v>12</v>
      </c>
      <c r="Q43" s="4" t="n">
        <v>10</v>
      </c>
      <c r="R43" s="4" t="n">
        <v>3</v>
      </c>
      <c r="S43" s="4" t="n">
        <v>7</v>
      </c>
      <c r="T43" s="4" t="n">
        <v>10</v>
      </c>
      <c r="U43" s="4" t="n">
        <v>4</v>
      </c>
      <c r="V43" s="4" t="n">
        <v>1</v>
      </c>
      <c r="W43" s="4" t="n">
        <v>7</v>
      </c>
      <c r="X43" s="4" t="n">
        <v>5</v>
      </c>
      <c r="Y43" s="4" t="n">
        <v>2</v>
      </c>
      <c r="Z43" s="4" t="n">
        <v>5</v>
      </c>
      <c r="AA43" s="7" t="n">
        <v>5</v>
      </c>
      <c r="AB43" s="7" t="n">
        <v>2</v>
      </c>
      <c r="AC43" s="4" t="n">
        <v>3</v>
      </c>
      <c r="AD43" s="8" t="n">
        <f aca="false">SUM(P43:AC43)</f>
        <v>76</v>
      </c>
      <c r="AE43" s="9" t="str">
        <f aca="false">IF(AD43&gt;=78,"Tier 1 Named",IF(AD43&gt;=68,"Tier 2 Priority",IF(AD43&gt;=58,"Tier 3 Volume",IF(AD43&gt;=45,"Nurture","Disqualify"))))</f>
        <v>Tier 2 Priority</v>
      </c>
      <c r="AF43" s="4" t="n">
        <v>1</v>
      </c>
      <c r="AG43" s="6" t="s">
        <v>421</v>
      </c>
    </row>
    <row r="44" customFormat="false" ht="91.5" hidden="false" customHeight="true" outlineLevel="0" collapsed="false">
      <c r="A44" s="4" t="n">
        <v>40</v>
      </c>
      <c r="B44" s="5" t="s">
        <v>422</v>
      </c>
      <c r="C44" s="5" t="s">
        <v>51</v>
      </c>
      <c r="D44" s="4" t="s">
        <v>37</v>
      </c>
      <c r="E44" s="5" t="s">
        <v>38</v>
      </c>
      <c r="F44" s="5" t="s">
        <v>250</v>
      </c>
      <c r="G44" s="5" t="s">
        <v>423</v>
      </c>
      <c r="H44" s="6" t="s">
        <v>424</v>
      </c>
      <c r="I44" s="6" t="s">
        <v>425</v>
      </c>
      <c r="J44" s="5" t="s">
        <v>426</v>
      </c>
      <c r="K44" s="5" t="s">
        <v>67</v>
      </c>
      <c r="L44" s="6" t="s">
        <v>427</v>
      </c>
      <c r="M44" s="6" t="s">
        <v>428</v>
      </c>
      <c r="N44" s="6" t="s">
        <v>429</v>
      </c>
      <c r="O44" s="5" t="s">
        <v>430</v>
      </c>
      <c r="P44" s="4" t="n">
        <v>12</v>
      </c>
      <c r="Q44" s="4" t="n">
        <v>10</v>
      </c>
      <c r="R44" s="4" t="n">
        <v>3</v>
      </c>
      <c r="S44" s="4" t="n">
        <v>7</v>
      </c>
      <c r="T44" s="4" t="n">
        <v>8</v>
      </c>
      <c r="U44" s="4" t="n">
        <v>4</v>
      </c>
      <c r="V44" s="4" t="n">
        <v>7</v>
      </c>
      <c r="W44" s="4" t="n">
        <v>4</v>
      </c>
      <c r="X44" s="4" t="n">
        <v>0</v>
      </c>
      <c r="Y44" s="4" t="n">
        <v>5</v>
      </c>
      <c r="Z44" s="4" t="n">
        <v>5</v>
      </c>
      <c r="AA44" s="7" t="n">
        <v>5</v>
      </c>
      <c r="AB44" s="7" t="n">
        <v>2</v>
      </c>
      <c r="AC44" s="4" t="n">
        <v>3</v>
      </c>
      <c r="AD44" s="8" t="n">
        <f aca="false">SUM(P44:AC44)</f>
        <v>75</v>
      </c>
      <c r="AE44" s="9" t="str">
        <f aca="false">IF(AD44&gt;=78,"Tier 1 Named",IF(AD44&gt;=68,"Tier 2 Priority",IF(AD44&gt;=58,"Tier 3 Volume",IF(AD44&gt;=45,"Nurture","Disqualify"))))</f>
        <v>Tier 2 Priority</v>
      </c>
      <c r="AF44" s="4" t="n">
        <v>1</v>
      </c>
      <c r="AG44" s="6" t="s">
        <v>431</v>
      </c>
    </row>
    <row r="45" customFormat="false" ht="91.5" hidden="false" customHeight="true" outlineLevel="0" collapsed="false">
      <c r="A45" s="4" t="n">
        <v>41</v>
      </c>
      <c r="B45" s="5" t="s">
        <v>432</v>
      </c>
      <c r="C45" s="5" t="s">
        <v>222</v>
      </c>
      <c r="D45" s="4" t="s">
        <v>249</v>
      </c>
      <c r="E45" s="5" t="s">
        <v>38</v>
      </c>
      <c r="F45" s="5" t="s">
        <v>140</v>
      </c>
      <c r="G45" s="5" t="s">
        <v>433</v>
      </c>
      <c r="H45" s="6" t="s">
        <v>434</v>
      </c>
      <c r="I45" s="6" t="s">
        <v>435</v>
      </c>
      <c r="J45" s="5" t="s">
        <v>436</v>
      </c>
      <c r="K45" s="5" t="s">
        <v>174</v>
      </c>
      <c r="L45" s="6" t="s">
        <v>243</v>
      </c>
      <c r="M45" s="6" t="s">
        <v>437</v>
      </c>
      <c r="N45" s="6" t="s">
        <v>438</v>
      </c>
      <c r="O45" s="5" t="s">
        <v>439</v>
      </c>
      <c r="P45" s="4" t="n">
        <v>12</v>
      </c>
      <c r="Q45" s="4" t="n">
        <v>10</v>
      </c>
      <c r="R45" s="4" t="n">
        <v>3</v>
      </c>
      <c r="S45" s="4" t="n">
        <v>7</v>
      </c>
      <c r="T45" s="4" t="n">
        <v>10</v>
      </c>
      <c r="U45" s="4" t="n">
        <v>4</v>
      </c>
      <c r="V45" s="4" t="n">
        <v>5</v>
      </c>
      <c r="W45" s="4" t="n">
        <v>2</v>
      </c>
      <c r="X45" s="4" t="n">
        <v>0</v>
      </c>
      <c r="Y45" s="4" t="n">
        <v>5</v>
      </c>
      <c r="Z45" s="4" t="n">
        <v>5</v>
      </c>
      <c r="AA45" s="7" t="n">
        <v>5</v>
      </c>
      <c r="AB45" s="7" t="n">
        <v>2</v>
      </c>
      <c r="AC45" s="4" t="n">
        <v>5</v>
      </c>
      <c r="AD45" s="8" t="n">
        <f aca="false">SUM(P45:AC45)</f>
        <v>75</v>
      </c>
      <c r="AE45" s="9" t="str">
        <f aca="false">IF(AD45&gt;=78,"Tier 1 Named",IF(AD45&gt;=68,"Tier 2 Priority",IF(AD45&gt;=58,"Tier 3 Volume",IF(AD45&gt;=45,"Nurture","Disqualify"))))</f>
        <v>Tier 2 Priority</v>
      </c>
      <c r="AF45" s="4" t="n">
        <v>1</v>
      </c>
      <c r="AG45" s="6" t="s">
        <v>440</v>
      </c>
    </row>
    <row r="46" customFormat="false" ht="91.5" hidden="false" customHeight="true" outlineLevel="0" collapsed="false">
      <c r="A46" s="4" t="n">
        <v>42</v>
      </c>
      <c r="B46" s="5" t="s">
        <v>441</v>
      </c>
      <c r="C46" s="5" t="s">
        <v>222</v>
      </c>
      <c r="D46" s="4" t="s">
        <v>37</v>
      </c>
      <c r="E46" s="5" t="s">
        <v>343</v>
      </c>
      <c r="F46" s="5" t="s">
        <v>140</v>
      </c>
      <c r="G46" s="5" t="s">
        <v>40</v>
      </c>
      <c r="H46" s="6" t="s">
        <v>442</v>
      </c>
      <c r="I46" s="6" t="s">
        <v>443</v>
      </c>
      <c r="J46" s="5" t="s">
        <v>444</v>
      </c>
      <c r="K46" s="5" t="s">
        <v>80</v>
      </c>
      <c r="L46" s="6" t="s">
        <v>409</v>
      </c>
      <c r="M46" s="6" t="s">
        <v>445</v>
      </c>
      <c r="N46" s="6" t="s">
        <v>446</v>
      </c>
      <c r="O46" s="5" t="s">
        <v>246</v>
      </c>
      <c r="P46" s="4" t="n">
        <v>12</v>
      </c>
      <c r="Q46" s="4" t="n">
        <v>5</v>
      </c>
      <c r="R46" s="4" t="n">
        <v>3</v>
      </c>
      <c r="S46" s="4" t="n">
        <v>8</v>
      </c>
      <c r="T46" s="4" t="n">
        <v>10</v>
      </c>
      <c r="U46" s="4" t="n">
        <v>4</v>
      </c>
      <c r="V46" s="4" t="n">
        <v>8</v>
      </c>
      <c r="W46" s="4" t="n">
        <v>6</v>
      </c>
      <c r="X46" s="4" t="n">
        <v>0</v>
      </c>
      <c r="Y46" s="4" t="n">
        <v>6</v>
      </c>
      <c r="Z46" s="4" t="n">
        <v>5</v>
      </c>
      <c r="AA46" s="7" t="n">
        <v>5</v>
      </c>
      <c r="AB46" s="7" t="n">
        <v>2</v>
      </c>
      <c r="AC46" s="4" t="n">
        <v>1</v>
      </c>
      <c r="AD46" s="8" t="n">
        <f aca="false">SUM(P46:AC46)</f>
        <v>75</v>
      </c>
      <c r="AE46" s="9" t="str">
        <f aca="false">IF(AD46&gt;=78,"Tier 1 Named",IF(AD46&gt;=68,"Tier 2 Priority",IF(AD46&gt;=58,"Tier 3 Volume",IF(AD46&gt;=45,"Nurture","Disqualify"))))</f>
        <v>Tier 2 Priority</v>
      </c>
      <c r="AF46" s="4" t="n">
        <v>1</v>
      </c>
      <c r="AG46" s="6" t="s">
        <v>447</v>
      </c>
    </row>
    <row r="47" customFormat="false" ht="91.5" hidden="false" customHeight="true" outlineLevel="0" collapsed="false">
      <c r="A47" s="4" t="n">
        <v>43</v>
      </c>
      <c r="B47" s="5" t="s">
        <v>448</v>
      </c>
      <c r="C47" s="5" t="s">
        <v>118</v>
      </c>
      <c r="D47" s="4" t="s">
        <v>361</v>
      </c>
      <c r="E47" s="5" t="s">
        <v>343</v>
      </c>
      <c r="F47" s="5" t="s">
        <v>324</v>
      </c>
      <c r="G47" s="5" t="s">
        <v>40</v>
      </c>
      <c r="H47" s="6" t="s">
        <v>449</v>
      </c>
      <c r="I47" s="6" t="s">
        <v>450</v>
      </c>
      <c r="J47" s="5" t="s">
        <v>451</v>
      </c>
      <c r="K47" s="5" t="s">
        <v>80</v>
      </c>
      <c r="L47" s="6" t="s">
        <v>452</v>
      </c>
      <c r="M47" s="6" t="s">
        <v>453</v>
      </c>
      <c r="N47" s="6" t="s">
        <v>454</v>
      </c>
      <c r="O47" s="5" t="s">
        <v>455</v>
      </c>
      <c r="P47" s="4" t="n">
        <v>12</v>
      </c>
      <c r="Q47" s="4" t="n">
        <v>5</v>
      </c>
      <c r="R47" s="4" t="n">
        <v>2</v>
      </c>
      <c r="S47" s="4" t="n">
        <v>8</v>
      </c>
      <c r="T47" s="4" t="n">
        <v>10</v>
      </c>
      <c r="U47" s="4" t="n">
        <v>6</v>
      </c>
      <c r="V47" s="4" t="n">
        <v>5</v>
      </c>
      <c r="W47" s="4" t="n">
        <v>2</v>
      </c>
      <c r="X47" s="4" t="n">
        <v>5</v>
      </c>
      <c r="Y47" s="4" t="n">
        <v>6</v>
      </c>
      <c r="Z47" s="4" t="n">
        <v>6</v>
      </c>
      <c r="AA47" s="7" t="n">
        <v>5</v>
      </c>
      <c r="AB47" s="7" t="n">
        <v>2</v>
      </c>
      <c r="AC47" s="4" t="n">
        <v>1</v>
      </c>
      <c r="AD47" s="8" t="n">
        <f aca="false">SUM(P47:AC47)</f>
        <v>75</v>
      </c>
      <c r="AE47" s="9" t="str">
        <f aca="false">IF(AD47&gt;=78,"Tier 1 Named",IF(AD47&gt;=68,"Tier 2 Priority",IF(AD47&gt;=58,"Tier 3 Volume",IF(AD47&gt;=45,"Nurture","Disqualify"))))</f>
        <v>Tier 2 Priority</v>
      </c>
      <c r="AF47" s="4" t="n">
        <v>1</v>
      </c>
      <c r="AG47" s="6" t="s">
        <v>456</v>
      </c>
    </row>
    <row r="48" customFormat="false" ht="91.5" hidden="false" customHeight="true" outlineLevel="0" collapsed="false">
      <c r="A48" s="4" t="n">
        <v>44</v>
      </c>
      <c r="B48" s="5" t="s">
        <v>457</v>
      </c>
      <c r="C48" s="5" t="s">
        <v>222</v>
      </c>
      <c r="D48" s="4" t="s">
        <v>249</v>
      </c>
      <c r="E48" s="5" t="s">
        <v>38</v>
      </c>
      <c r="F48" s="5" t="s">
        <v>458</v>
      </c>
      <c r="G48" s="5" t="s">
        <v>40</v>
      </c>
      <c r="H48" s="6" t="s">
        <v>459</v>
      </c>
      <c r="I48" s="6" t="s">
        <v>460</v>
      </c>
      <c r="J48" s="5" t="s">
        <v>461</v>
      </c>
      <c r="K48" s="5" t="s">
        <v>174</v>
      </c>
      <c r="L48" s="6" t="s">
        <v>462</v>
      </c>
      <c r="M48" s="6" t="s">
        <v>463</v>
      </c>
      <c r="N48" s="6" t="s">
        <v>464</v>
      </c>
      <c r="O48" s="5" t="s">
        <v>465</v>
      </c>
      <c r="P48" s="4" t="n">
        <v>12</v>
      </c>
      <c r="Q48" s="4" t="n">
        <v>10</v>
      </c>
      <c r="R48" s="4" t="n">
        <v>3</v>
      </c>
      <c r="S48" s="4" t="n">
        <v>5</v>
      </c>
      <c r="T48" s="4" t="n">
        <v>8</v>
      </c>
      <c r="U48" s="4" t="n">
        <v>2</v>
      </c>
      <c r="V48" s="4" t="n">
        <v>7</v>
      </c>
      <c r="W48" s="4" t="n">
        <v>7</v>
      </c>
      <c r="X48" s="4" t="n">
        <v>0</v>
      </c>
      <c r="Y48" s="4" t="n">
        <v>6</v>
      </c>
      <c r="Z48" s="4" t="n">
        <v>3</v>
      </c>
      <c r="AA48" s="7" t="n">
        <v>5</v>
      </c>
      <c r="AB48" s="7" t="n">
        <v>2</v>
      </c>
      <c r="AC48" s="4" t="n">
        <v>5</v>
      </c>
      <c r="AD48" s="8" t="n">
        <f aca="false">SUM(P48:AC48)</f>
        <v>75</v>
      </c>
      <c r="AE48" s="9" t="str">
        <f aca="false">IF(AD48&gt;=78,"Tier 1 Named",IF(AD48&gt;=68,"Tier 2 Priority",IF(AD48&gt;=58,"Tier 3 Volume",IF(AD48&gt;=45,"Nurture","Disqualify"))))</f>
        <v>Tier 2 Priority</v>
      </c>
      <c r="AF48" s="4" t="n">
        <v>1</v>
      </c>
      <c r="AG48" s="6" t="s">
        <v>466</v>
      </c>
    </row>
    <row r="49" customFormat="false" ht="91.5" hidden="false" customHeight="true" outlineLevel="0" collapsed="false">
      <c r="A49" s="4" t="n">
        <v>45</v>
      </c>
      <c r="B49" s="5" t="s">
        <v>467</v>
      </c>
      <c r="C49" s="5" t="s">
        <v>118</v>
      </c>
      <c r="D49" s="4" t="s">
        <v>389</v>
      </c>
      <c r="E49" s="5" t="s">
        <v>38</v>
      </c>
      <c r="F49" s="5" t="s">
        <v>39</v>
      </c>
      <c r="G49" s="5" t="s">
        <v>40</v>
      </c>
      <c r="H49" s="6" t="s">
        <v>468</v>
      </c>
      <c r="I49" s="6" t="s">
        <v>469</v>
      </c>
      <c r="J49" s="5" t="s">
        <v>470</v>
      </c>
      <c r="K49" s="5" t="s">
        <v>67</v>
      </c>
      <c r="L49" s="6" t="s">
        <v>471</v>
      </c>
      <c r="M49" s="6" t="s">
        <v>472</v>
      </c>
      <c r="N49" s="6" t="s">
        <v>473</v>
      </c>
      <c r="O49" s="5" t="s">
        <v>474</v>
      </c>
      <c r="P49" s="4" t="n">
        <v>12</v>
      </c>
      <c r="Q49" s="4" t="n">
        <v>10</v>
      </c>
      <c r="R49" s="4" t="n">
        <v>3</v>
      </c>
      <c r="S49" s="4" t="n">
        <v>7</v>
      </c>
      <c r="T49" s="4" t="n">
        <v>8</v>
      </c>
      <c r="U49" s="4" t="n">
        <v>4</v>
      </c>
      <c r="V49" s="4" t="n">
        <v>3</v>
      </c>
      <c r="W49" s="4" t="n">
        <v>4</v>
      </c>
      <c r="X49" s="4" t="n">
        <v>4</v>
      </c>
      <c r="Y49" s="4" t="n">
        <v>5</v>
      </c>
      <c r="Z49" s="4" t="n">
        <v>3</v>
      </c>
      <c r="AA49" s="7" t="n">
        <v>5</v>
      </c>
      <c r="AB49" s="7" t="n">
        <v>2</v>
      </c>
      <c r="AC49" s="4" t="n">
        <v>5</v>
      </c>
      <c r="AD49" s="8" t="n">
        <f aca="false">SUM(P49:AC49)</f>
        <v>75</v>
      </c>
      <c r="AE49" s="9" t="str">
        <f aca="false">IF(AD49&gt;=78,"Tier 1 Named",IF(AD49&gt;=68,"Tier 2 Priority",IF(AD49&gt;=58,"Tier 3 Volume",IF(AD49&gt;=45,"Nurture","Disqualify"))))</f>
        <v>Tier 2 Priority</v>
      </c>
      <c r="AF49" s="4" t="n">
        <v>2</v>
      </c>
      <c r="AG49" s="6" t="s">
        <v>475</v>
      </c>
    </row>
    <row r="50" customFormat="false" ht="91.5" hidden="false" customHeight="true" outlineLevel="0" collapsed="false">
      <c r="A50" s="4" t="n">
        <v>46</v>
      </c>
      <c r="B50" s="5" t="s">
        <v>476</v>
      </c>
      <c r="C50" s="5" t="s">
        <v>51</v>
      </c>
      <c r="D50" s="4" t="s">
        <v>37</v>
      </c>
      <c r="E50" s="5" t="s">
        <v>38</v>
      </c>
      <c r="F50" s="5" t="s">
        <v>140</v>
      </c>
      <c r="G50" s="5" t="s">
        <v>423</v>
      </c>
      <c r="H50" s="6" t="s">
        <v>477</v>
      </c>
      <c r="I50" s="6" t="s">
        <v>478</v>
      </c>
      <c r="J50" s="5" t="s">
        <v>479</v>
      </c>
      <c r="K50" s="5" t="s">
        <v>67</v>
      </c>
      <c r="L50" s="6" t="s">
        <v>480</v>
      </c>
      <c r="M50" s="6" t="s">
        <v>481</v>
      </c>
      <c r="N50" s="6" t="s">
        <v>482</v>
      </c>
      <c r="O50" s="5" t="s">
        <v>483</v>
      </c>
      <c r="P50" s="4" t="n">
        <v>12</v>
      </c>
      <c r="Q50" s="4" t="n">
        <v>10</v>
      </c>
      <c r="R50" s="4" t="n">
        <v>3</v>
      </c>
      <c r="S50" s="4" t="n">
        <v>7</v>
      </c>
      <c r="T50" s="4" t="n">
        <v>8</v>
      </c>
      <c r="U50" s="4" t="n">
        <v>4</v>
      </c>
      <c r="V50" s="4" t="n">
        <v>7</v>
      </c>
      <c r="W50" s="4" t="n">
        <v>4</v>
      </c>
      <c r="X50" s="4" t="n">
        <v>0</v>
      </c>
      <c r="Y50" s="4" t="n">
        <v>5</v>
      </c>
      <c r="Z50" s="4" t="n">
        <v>5</v>
      </c>
      <c r="AA50" s="7" t="n">
        <v>5</v>
      </c>
      <c r="AB50" s="7" t="n">
        <v>2</v>
      </c>
      <c r="AC50" s="4" t="n">
        <v>3</v>
      </c>
      <c r="AD50" s="8" t="n">
        <f aca="false">SUM(P50:AC50)</f>
        <v>75</v>
      </c>
      <c r="AE50" s="9" t="str">
        <f aca="false">IF(AD50&gt;=78,"Tier 1 Named",IF(AD50&gt;=68,"Tier 2 Priority",IF(AD50&gt;=58,"Tier 3 Volume",IF(AD50&gt;=45,"Nurture","Disqualify"))))</f>
        <v>Tier 2 Priority</v>
      </c>
      <c r="AF50" s="4" t="n">
        <v>1</v>
      </c>
      <c r="AG50" s="6" t="s">
        <v>484</v>
      </c>
    </row>
    <row r="51" customFormat="false" ht="91.5" hidden="false" customHeight="true" outlineLevel="0" collapsed="false">
      <c r="A51" s="4" t="n">
        <v>47</v>
      </c>
      <c r="B51" s="5" t="s">
        <v>485</v>
      </c>
      <c r="C51" s="5" t="s">
        <v>486</v>
      </c>
      <c r="D51" s="4" t="s">
        <v>37</v>
      </c>
      <c r="E51" s="5" t="s">
        <v>343</v>
      </c>
      <c r="F51" s="5" t="s">
        <v>487</v>
      </c>
      <c r="G51" s="5" t="s">
        <v>40</v>
      </c>
      <c r="H51" s="6" t="s">
        <v>488</v>
      </c>
      <c r="I51" s="6" t="s">
        <v>489</v>
      </c>
      <c r="J51" s="5" t="s">
        <v>490</v>
      </c>
      <c r="K51" s="5" t="s">
        <v>80</v>
      </c>
      <c r="L51" s="6" t="s">
        <v>491</v>
      </c>
      <c r="M51" s="6" t="s">
        <v>492</v>
      </c>
      <c r="N51" s="6" t="s">
        <v>493</v>
      </c>
      <c r="O51" s="5" t="s">
        <v>494</v>
      </c>
      <c r="P51" s="4" t="n">
        <v>12</v>
      </c>
      <c r="Q51" s="4" t="n">
        <v>5</v>
      </c>
      <c r="R51" s="4" t="n">
        <v>2</v>
      </c>
      <c r="S51" s="4" t="n">
        <v>8</v>
      </c>
      <c r="T51" s="4" t="n">
        <v>10</v>
      </c>
      <c r="U51" s="4" t="n">
        <v>4</v>
      </c>
      <c r="V51" s="4" t="n">
        <v>8</v>
      </c>
      <c r="W51" s="4" t="n">
        <v>7</v>
      </c>
      <c r="X51" s="4" t="n">
        <v>0</v>
      </c>
      <c r="Y51" s="4" t="n">
        <v>6</v>
      </c>
      <c r="Z51" s="4" t="n">
        <v>5</v>
      </c>
      <c r="AA51" s="7" t="n">
        <v>5</v>
      </c>
      <c r="AB51" s="7" t="n">
        <v>2</v>
      </c>
      <c r="AC51" s="4" t="n">
        <v>1</v>
      </c>
      <c r="AD51" s="8" t="n">
        <f aca="false">SUM(P51:AC51)</f>
        <v>75</v>
      </c>
      <c r="AE51" s="9" t="str">
        <f aca="false">IF(AD51&gt;=78,"Tier 1 Named",IF(AD51&gt;=68,"Tier 2 Priority",IF(AD51&gt;=58,"Tier 3 Volume",IF(AD51&gt;=45,"Nurture","Disqualify"))))</f>
        <v>Tier 2 Priority</v>
      </c>
      <c r="AF51" s="4" t="n">
        <v>1</v>
      </c>
      <c r="AG51" s="6" t="s">
        <v>495</v>
      </c>
    </row>
    <row r="52" customFormat="false" ht="91.5" hidden="false" customHeight="true" outlineLevel="0" collapsed="false">
      <c r="A52" s="4" t="n">
        <v>48</v>
      </c>
      <c r="B52" s="5" t="s">
        <v>496</v>
      </c>
      <c r="C52" s="5" t="s">
        <v>188</v>
      </c>
      <c r="D52" s="4" t="s">
        <v>189</v>
      </c>
      <c r="E52" s="5" t="s">
        <v>190</v>
      </c>
      <c r="F52" s="5" t="s">
        <v>120</v>
      </c>
      <c r="G52" s="5" t="s">
        <v>40</v>
      </c>
      <c r="H52" s="6" t="s">
        <v>497</v>
      </c>
      <c r="I52" s="6" t="s">
        <v>498</v>
      </c>
      <c r="J52" s="5" t="s">
        <v>499</v>
      </c>
      <c r="K52" s="5" t="s">
        <v>111</v>
      </c>
      <c r="L52" s="6" t="s">
        <v>500</v>
      </c>
      <c r="M52" s="6" t="s">
        <v>501</v>
      </c>
      <c r="N52" s="6" t="s">
        <v>502</v>
      </c>
      <c r="O52" s="5" t="s">
        <v>197</v>
      </c>
      <c r="P52" s="4" t="n">
        <v>12</v>
      </c>
      <c r="Q52" s="4" t="n">
        <v>9</v>
      </c>
      <c r="R52" s="4" t="n">
        <v>3</v>
      </c>
      <c r="S52" s="4" t="n">
        <v>7</v>
      </c>
      <c r="T52" s="4" t="n">
        <v>8</v>
      </c>
      <c r="U52" s="4" t="n">
        <v>6</v>
      </c>
      <c r="V52" s="4" t="n">
        <v>1</v>
      </c>
      <c r="W52" s="4" t="n">
        <v>4</v>
      </c>
      <c r="X52" s="4" t="n">
        <v>5</v>
      </c>
      <c r="Y52" s="4" t="n">
        <v>2</v>
      </c>
      <c r="Z52" s="4" t="n">
        <v>6</v>
      </c>
      <c r="AA52" s="7" t="n">
        <v>5</v>
      </c>
      <c r="AB52" s="7" t="n">
        <v>2</v>
      </c>
      <c r="AC52" s="4" t="n">
        <v>5</v>
      </c>
      <c r="AD52" s="8" t="n">
        <f aca="false">SUM(P52:AC52)</f>
        <v>75</v>
      </c>
      <c r="AE52" s="9" t="str">
        <f aca="false">IF(AD52&gt;=78,"Tier 1 Named",IF(AD52&gt;=68,"Tier 2 Priority",IF(AD52&gt;=58,"Tier 3 Volume",IF(AD52&gt;=45,"Nurture","Disqualify"))))</f>
        <v>Tier 2 Priority</v>
      </c>
      <c r="AF52" s="4" t="n">
        <v>1</v>
      </c>
      <c r="AG52" s="6" t="s">
        <v>503</v>
      </c>
    </row>
    <row r="53" customFormat="false" ht="91.5" hidden="false" customHeight="true" outlineLevel="0" collapsed="false">
      <c r="A53" s="4" t="n">
        <v>49</v>
      </c>
      <c r="B53" s="5" t="s">
        <v>504</v>
      </c>
      <c r="C53" s="5" t="s">
        <v>505</v>
      </c>
      <c r="D53" s="4" t="s">
        <v>259</v>
      </c>
      <c r="E53" s="5" t="s">
        <v>38</v>
      </c>
      <c r="F53" s="5" t="s">
        <v>270</v>
      </c>
      <c r="G53" s="5" t="s">
        <v>40</v>
      </c>
      <c r="H53" s="6" t="s">
        <v>506</v>
      </c>
      <c r="I53" s="6" t="s">
        <v>507</v>
      </c>
      <c r="J53" s="5" t="s">
        <v>263</v>
      </c>
      <c r="K53" s="5" t="s">
        <v>80</v>
      </c>
      <c r="L53" s="6" t="s">
        <v>508</v>
      </c>
      <c r="M53" s="6" t="s">
        <v>509</v>
      </c>
      <c r="N53" s="6" t="s">
        <v>510</v>
      </c>
      <c r="O53" s="5" t="s">
        <v>511</v>
      </c>
      <c r="P53" s="4" t="n">
        <v>12</v>
      </c>
      <c r="Q53" s="4" t="n">
        <v>10</v>
      </c>
      <c r="R53" s="4" t="n">
        <v>3</v>
      </c>
      <c r="S53" s="4" t="n">
        <v>5</v>
      </c>
      <c r="T53" s="4" t="n">
        <v>10</v>
      </c>
      <c r="U53" s="4" t="n">
        <v>2</v>
      </c>
      <c r="V53" s="4" t="n">
        <v>8</v>
      </c>
      <c r="W53" s="4" t="n">
        <v>4</v>
      </c>
      <c r="X53" s="4" t="n">
        <v>5</v>
      </c>
      <c r="Y53" s="4" t="n">
        <v>2</v>
      </c>
      <c r="Z53" s="4" t="n">
        <v>3</v>
      </c>
      <c r="AA53" s="7" t="n">
        <v>5</v>
      </c>
      <c r="AB53" s="7" t="n">
        <v>2</v>
      </c>
      <c r="AC53" s="4" t="n">
        <v>3</v>
      </c>
      <c r="AD53" s="8" t="n">
        <f aca="false">SUM(P53:AC53)</f>
        <v>74</v>
      </c>
      <c r="AE53" s="9" t="str">
        <f aca="false">IF(AD53&gt;=78,"Tier 1 Named",IF(AD53&gt;=68,"Tier 2 Priority",IF(AD53&gt;=58,"Tier 3 Volume",IF(AD53&gt;=45,"Nurture","Disqualify"))))</f>
        <v>Tier 2 Priority</v>
      </c>
      <c r="AF53" s="4" t="n">
        <v>1</v>
      </c>
      <c r="AG53" s="6" t="s">
        <v>512</v>
      </c>
    </row>
    <row r="54" customFormat="false" ht="91.5" hidden="false" customHeight="true" outlineLevel="0" collapsed="false">
      <c r="A54" s="4" t="n">
        <v>50</v>
      </c>
      <c r="B54" s="5" t="s">
        <v>513</v>
      </c>
      <c r="C54" s="5" t="s">
        <v>222</v>
      </c>
      <c r="D54" s="4" t="s">
        <v>249</v>
      </c>
      <c r="E54" s="5" t="s">
        <v>38</v>
      </c>
      <c r="F54" s="5" t="s">
        <v>87</v>
      </c>
      <c r="G54" s="5" t="s">
        <v>40</v>
      </c>
      <c r="H54" s="6" t="s">
        <v>514</v>
      </c>
      <c r="I54" s="6" t="s">
        <v>515</v>
      </c>
      <c r="J54" s="5" t="s">
        <v>516</v>
      </c>
      <c r="K54" s="5" t="s">
        <v>205</v>
      </c>
      <c r="L54" s="6" t="s">
        <v>517</v>
      </c>
      <c r="M54" s="6" t="s">
        <v>518</v>
      </c>
      <c r="N54" s="6" t="s">
        <v>519</v>
      </c>
      <c r="O54" s="5" t="s">
        <v>520</v>
      </c>
      <c r="P54" s="4" t="n">
        <v>12</v>
      </c>
      <c r="Q54" s="4" t="n">
        <v>10</v>
      </c>
      <c r="R54" s="4" t="n">
        <v>3</v>
      </c>
      <c r="S54" s="4" t="n">
        <v>5</v>
      </c>
      <c r="T54" s="4" t="n">
        <v>8</v>
      </c>
      <c r="U54" s="4" t="n">
        <v>2</v>
      </c>
      <c r="V54" s="4" t="n">
        <v>8</v>
      </c>
      <c r="W54" s="4" t="n">
        <v>6</v>
      </c>
      <c r="X54" s="4" t="n">
        <v>0</v>
      </c>
      <c r="Y54" s="4" t="n">
        <v>5</v>
      </c>
      <c r="Z54" s="4" t="n">
        <v>3</v>
      </c>
      <c r="AA54" s="7" t="n">
        <v>5</v>
      </c>
      <c r="AB54" s="7" t="n">
        <v>2</v>
      </c>
      <c r="AC54" s="4" t="n">
        <v>5</v>
      </c>
      <c r="AD54" s="8" t="n">
        <f aca="false">SUM(P54:AC54)</f>
        <v>74</v>
      </c>
      <c r="AE54" s="9" t="str">
        <f aca="false">IF(AD54&gt;=78,"Tier 1 Named",IF(AD54&gt;=68,"Tier 2 Priority",IF(AD54&gt;=58,"Tier 3 Volume",IF(AD54&gt;=45,"Nurture","Disqualify"))))</f>
        <v>Tier 2 Priority</v>
      </c>
      <c r="AF54" s="4" t="n">
        <v>1</v>
      </c>
      <c r="AG54" s="6" t="s">
        <v>521</v>
      </c>
    </row>
    <row r="55" customFormat="false" ht="91.5" hidden="false" customHeight="true" outlineLevel="0" collapsed="false">
      <c r="A55" s="4" t="n">
        <v>51</v>
      </c>
      <c r="B55" s="5" t="s">
        <v>522</v>
      </c>
      <c r="C55" s="5" t="s">
        <v>118</v>
      </c>
      <c r="D55" s="4" t="s">
        <v>361</v>
      </c>
      <c r="E55" s="5" t="s">
        <v>343</v>
      </c>
      <c r="F55" s="5" t="s">
        <v>523</v>
      </c>
      <c r="G55" s="5" t="s">
        <v>40</v>
      </c>
      <c r="H55" s="6" t="s">
        <v>524</v>
      </c>
      <c r="I55" s="6" t="s">
        <v>525</v>
      </c>
      <c r="J55" s="5" t="s">
        <v>526</v>
      </c>
      <c r="K55" s="5" t="s">
        <v>80</v>
      </c>
      <c r="L55" s="6" t="s">
        <v>452</v>
      </c>
      <c r="M55" s="6" t="s">
        <v>527</v>
      </c>
      <c r="N55" s="6" t="s">
        <v>528</v>
      </c>
      <c r="O55" s="5" t="s">
        <v>529</v>
      </c>
      <c r="P55" s="4" t="n">
        <v>12</v>
      </c>
      <c r="Q55" s="4" t="n">
        <v>5</v>
      </c>
      <c r="R55" s="4" t="n">
        <v>2</v>
      </c>
      <c r="S55" s="4" t="n">
        <v>8</v>
      </c>
      <c r="T55" s="4" t="n">
        <v>10</v>
      </c>
      <c r="U55" s="4" t="n">
        <v>4</v>
      </c>
      <c r="V55" s="4" t="n">
        <v>7</v>
      </c>
      <c r="W55" s="4" t="n">
        <v>2</v>
      </c>
      <c r="X55" s="4" t="n">
        <v>5</v>
      </c>
      <c r="Y55" s="4" t="n">
        <v>6</v>
      </c>
      <c r="Z55" s="4" t="n">
        <v>5</v>
      </c>
      <c r="AA55" s="7" t="n">
        <v>5</v>
      </c>
      <c r="AB55" s="7" t="n">
        <v>2</v>
      </c>
      <c r="AC55" s="4" t="n">
        <v>1</v>
      </c>
      <c r="AD55" s="8" t="n">
        <f aca="false">SUM(P55:AC55)</f>
        <v>74</v>
      </c>
      <c r="AE55" s="9" t="str">
        <f aca="false">IF(AD55&gt;=78,"Tier 1 Named",IF(AD55&gt;=68,"Tier 2 Priority",IF(AD55&gt;=58,"Tier 3 Volume",IF(AD55&gt;=45,"Nurture","Disqualify"))))</f>
        <v>Tier 2 Priority</v>
      </c>
      <c r="AF55" s="4" t="n">
        <v>1</v>
      </c>
      <c r="AG55" s="6" t="s">
        <v>530</v>
      </c>
    </row>
    <row r="56" customFormat="false" ht="91.5" hidden="false" customHeight="true" outlineLevel="0" collapsed="false">
      <c r="A56" s="4" t="n">
        <v>52</v>
      </c>
      <c r="B56" s="5" t="s">
        <v>531</v>
      </c>
      <c r="C56" s="5" t="s">
        <v>378</v>
      </c>
      <c r="D56" s="4" t="s">
        <v>95</v>
      </c>
      <c r="E56" s="5" t="s">
        <v>38</v>
      </c>
      <c r="F56" s="5" t="s">
        <v>39</v>
      </c>
      <c r="G56" s="5" t="s">
        <v>40</v>
      </c>
      <c r="H56" s="6" t="s">
        <v>532</v>
      </c>
      <c r="I56" s="6" t="s">
        <v>533</v>
      </c>
      <c r="J56" s="5" t="s">
        <v>534</v>
      </c>
      <c r="K56" s="5" t="s">
        <v>111</v>
      </c>
      <c r="L56" s="6" t="s">
        <v>535</v>
      </c>
      <c r="M56" s="6" t="s">
        <v>536</v>
      </c>
      <c r="N56" s="6" t="s">
        <v>537</v>
      </c>
      <c r="O56" s="5" t="s">
        <v>538</v>
      </c>
      <c r="P56" s="4" t="n">
        <v>12</v>
      </c>
      <c r="Q56" s="4" t="n">
        <v>10</v>
      </c>
      <c r="R56" s="4" t="n">
        <v>3</v>
      </c>
      <c r="S56" s="4" t="n">
        <v>8</v>
      </c>
      <c r="T56" s="4" t="n">
        <v>8</v>
      </c>
      <c r="U56" s="4" t="n">
        <v>6</v>
      </c>
      <c r="V56" s="4" t="n">
        <v>1</v>
      </c>
      <c r="W56" s="4" t="n">
        <v>6</v>
      </c>
      <c r="X56" s="4" t="n">
        <v>0</v>
      </c>
      <c r="Y56" s="4" t="n">
        <v>3</v>
      </c>
      <c r="Z56" s="4" t="n">
        <v>6</v>
      </c>
      <c r="AA56" s="7" t="n">
        <v>5</v>
      </c>
      <c r="AB56" s="7" t="n">
        <v>2</v>
      </c>
      <c r="AC56" s="4" t="n">
        <v>3</v>
      </c>
      <c r="AD56" s="8" t="n">
        <f aca="false">SUM(P56:AC56)</f>
        <v>73</v>
      </c>
      <c r="AE56" s="9" t="str">
        <f aca="false">IF(AD56&gt;=78,"Tier 1 Named",IF(AD56&gt;=68,"Tier 2 Priority",IF(AD56&gt;=58,"Tier 3 Volume",IF(AD56&gt;=45,"Nurture","Disqualify"))))</f>
        <v>Tier 2 Priority</v>
      </c>
      <c r="AF56" s="4" t="n">
        <v>1</v>
      </c>
      <c r="AG56" s="6" t="s">
        <v>539</v>
      </c>
    </row>
    <row r="57" customFormat="false" ht="91.5" hidden="false" customHeight="true" outlineLevel="0" collapsed="false">
      <c r="A57" s="4" t="n">
        <v>53</v>
      </c>
      <c r="B57" s="5" t="s">
        <v>540</v>
      </c>
      <c r="C57" s="5" t="s">
        <v>541</v>
      </c>
      <c r="D57" s="4" t="s">
        <v>542</v>
      </c>
      <c r="E57" s="5" t="s">
        <v>38</v>
      </c>
      <c r="F57" s="5" t="s">
        <v>39</v>
      </c>
      <c r="G57" s="5" t="s">
        <v>40</v>
      </c>
      <c r="H57" s="6" t="s">
        <v>543</v>
      </c>
      <c r="I57" s="6" t="s">
        <v>544</v>
      </c>
      <c r="J57" s="5" t="s">
        <v>545</v>
      </c>
      <c r="K57" s="5" t="s">
        <v>44</v>
      </c>
      <c r="L57" s="6" t="s">
        <v>546</v>
      </c>
      <c r="M57" s="6" t="s">
        <v>547</v>
      </c>
      <c r="N57" s="6" t="s">
        <v>548</v>
      </c>
      <c r="O57" s="5" t="s">
        <v>549</v>
      </c>
      <c r="P57" s="4" t="n">
        <v>12</v>
      </c>
      <c r="Q57" s="4" t="n">
        <v>10</v>
      </c>
      <c r="R57" s="4" t="n">
        <v>3</v>
      </c>
      <c r="S57" s="4" t="n">
        <v>8</v>
      </c>
      <c r="T57" s="4" t="n">
        <v>10</v>
      </c>
      <c r="U57" s="4" t="n">
        <v>6</v>
      </c>
      <c r="V57" s="4" t="n">
        <v>3</v>
      </c>
      <c r="W57" s="4" t="n">
        <v>2</v>
      </c>
      <c r="X57" s="4" t="n">
        <v>0</v>
      </c>
      <c r="Y57" s="4" t="n">
        <v>3</v>
      </c>
      <c r="Z57" s="4" t="n">
        <v>6</v>
      </c>
      <c r="AA57" s="7" t="n">
        <v>5</v>
      </c>
      <c r="AB57" s="7" t="n">
        <v>2</v>
      </c>
      <c r="AC57" s="4" t="n">
        <v>3</v>
      </c>
      <c r="AD57" s="8" t="n">
        <f aca="false">SUM(P57:AC57)</f>
        <v>73</v>
      </c>
      <c r="AE57" s="9" t="str">
        <f aca="false">IF(AD57&gt;=78,"Tier 1 Named",IF(AD57&gt;=68,"Tier 2 Priority",IF(AD57&gt;=58,"Tier 3 Volume",IF(AD57&gt;=45,"Nurture","Disqualify"))))</f>
        <v>Tier 2 Priority</v>
      </c>
      <c r="AF57" s="4" t="n">
        <v>1</v>
      </c>
      <c r="AG57" s="6" t="s">
        <v>550</v>
      </c>
    </row>
    <row r="58" customFormat="false" ht="91.5" hidden="false" customHeight="true" outlineLevel="0" collapsed="false">
      <c r="A58" s="4" t="n">
        <v>54</v>
      </c>
      <c r="B58" s="5" t="s">
        <v>551</v>
      </c>
      <c r="C58" s="5" t="s">
        <v>188</v>
      </c>
      <c r="D58" s="4" t="s">
        <v>189</v>
      </c>
      <c r="E58" s="5" t="s">
        <v>38</v>
      </c>
      <c r="F58" s="5" t="s">
        <v>39</v>
      </c>
      <c r="G58" s="5" t="s">
        <v>40</v>
      </c>
      <c r="H58" s="6" t="s">
        <v>552</v>
      </c>
      <c r="I58" s="6" t="s">
        <v>553</v>
      </c>
      <c r="J58" s="5" t="s">
        <v>554</v>
      </c>
      <c r="K58" s="5" t="s">
        <v>111</v>
      </c>
      <c r="L58" s="6" t="s">
        <v>555</v>
      </c>
      <c r="M58" s="6" t="s">
        <v>556</v>
      </c>
      <c r="N58" s="6" t="s">
        <v>557</v>
      </c>
      <c r="O58" s="5" t="s">
        <v>197</v>
      </c>
      <c r="P58" s="4" t="n">
        <v>12</v>
      </c>
      <c r="Q58" s="4" t="n">
        <v>10</v>
      </c>
      <c r="R58" s="4" t="n">
        <v>3</v>
      </c>
      <c r="S58" s="4" t="n">
        <v>7</v>
      </c>
      <c r="T58" s="4" t="n">
        <v>10</v>
      </c>
      <c r="U58" s="4" t="n">
        <v>4</v>
      </c>
      <c r="V58" s="4" t="n">
        <v>3</v>
      </c>
      <c r="W58" s="4" t="n">
        <v>2</v>
      </c>
      <c r="X58" s="4" t="n">
        <v>5</v>
      </c>
      <c r="Y58" s="4" t="n">
        <v>2</v>
      </c>
      <c r="Z58" s="4" t="n">
        <v>5</v>
      </c>
      <c r="AA58" s="7" t="n">
        <v>5</v>
      </c>
      <c r="AB58" s="7" t="n">
        <v>2</v>
      </c>
      <c r="AC58" s="4" t="n">
        <v>3</v>
      </c>
      <c r="AD58" s="8" t="n">
        <f aca="false">SUM(P58:AC58)</f>
        <v>73</v>
      </c>
      <c r="AE58" s="9" t="str">
        <f aca="false">IF(AD58&gt;=78,"Tier 1 Named",IF(AD58&gt;=68,"Tier 2 Priority",IF(AD58&gt;=58,"Tier 3 Volume",IF(AD58&gt;=45,"Nurture","Disqualify"))))</f>
        <v>Tier 2 Priority</v>
      </c>
      <c r="AF58" s="4" t="n">
        <v>1</v>
      </c>
      <c r="AG58" s="6"/>
    </row>
    <row r="59" customFormat="false" ht="91.5" hidden="false" customHeight="true" outlineLevel="0" collapsed="false">
      <c r="A59" s="4" t="n">
        <v>55</v>
      </c>
      <c r="B59" s="5" t="s">
        <v>558</v>
      </c>
      <c r="C59" s="5" t="s">
        <v>188</v>
      </c>
      <c r="D59" s="4" t="s">
        <v>259</v>
      </c>
      <c r="E59" s="5" t="s">
        <v>106</v>
      </c>
      <c r="F59" s="5" t="s">
        <v>458</v>
      </c>
      <c r="G59" s="5" t="s">
        <v>260</v>
      </c>
      <c r="H59" s="6" t="s">
        <v>559</v>
      </c>
      <c r="I59" s="6" t="s">
        <v>560</v>
      </c>
      <c r="J59" s="5" t="s">
        <v>561</v>
      </c>
      <c r="K59" s="5" t="s">
        <v>80</v>
      </c>
      <c r="L59" s="6" t="s">
        <v>555</v>
      </c>
      <c r="M59" s="6" t="s">
        <v>562</v>
      </c>
      <c r="N59" s="6" t="s">
        <v>563</v>
      </c>
      <c r="O59" s="5" t="s">
        <v>197</v>
      </c>
      <c r="P59" s="4" t="n">
        <v>12</v>
      </c>
      <c r="Q59" s="4" t="n">
        <v>8</v>
      </c>
      <c r="R59" s="4" t="n">
        <v>3</v>
      </c>
      <c r="S59" s="4" t="n">
        <v>7</v>
      </c>
      <c r="T59" s="4" t="n">
        <v>10</v>
      </c>
      <c r="U59" s="4" t="n">
        <v>4</v>
      </c>
      <c r="V59" s="4" t="n">
        <v>5</v>
      </c>
      <c r="W59" s="4" t="n">
        <v>2</v>
      </c>
      <c r="X59" s="4" t="n">
        <v>5</v>
      </c>
      <c r="Y59" s="4" t="n">
        <v>2</v>
      </c>
      <c r="Z59" s="4" t="n">
        <v>5</v>
      </c>
      <c r="AA59" s="7" t="n">
        <v>5</v>
      </c>
      <c r="AB59" s="7" t="n">
        <v>2</v>
      </c>
      <c r="AC59" s="4" t="n">
        <v>3</v>
      </c>
      <c r="AD59" s="8" t="n">
        <f aca="false">SUM(P59:AC59)</f>
        <v>73</v>
      </c>
      <c r="AE59" s="9" t="str">
        <f aca="false">IF(AD59&gt;=78,"Tier 1 Named",IF(AD59&gt;=68,"Tier 2 Priority",IF(AD59&gt;=58,"Tier 3 Volume",IF(AD59&gt;=45,"Nurture","Disqualify"))))</f>
        <v>Tier 2 Priority</v>
      </c>
      <c r="AF59" s="4" t="n">
        <v>1</v>
      </c>
      <c r="AG59" s="6" t="s">
        <v>564</v>
      </c>
    </row>
    <row r="60" customFormat="false" ht="91.5" hidden="false" customHeight="true" outlineLevel="0" collapsed="false">
      <c r="A60" s="4" t="n">
        <v>56</v>
      </c>
      <c r="B60" s="5" t="s">
        <v>565</v>
      </c>
      <c r="C60" s="5" t="s">
        <v>222</v>
      </c>
      <c r="D60" s="4" t="s">
        <v>249</v>
      </c>
      <c r="E60" s="5" t="s">
        <v>38</v>
      </c>
      <c r="F60" s="5" t="s">
        <v>151</v>
      </c>
      <c r="G60" s="5" t="s">
        <v>40</v>
      </c>
      <c r="H60" s="6" t="s">
        <v>566</v>
      </c>
      <c r="I60" s="6" t="s">
        <v>567</v>
      </c>
      <c r="J60" s="5" t="s">
        <v>568</v>
      </c>
      <c r="K60" s="5" t="s">
        <v>205</v>
      </c>
      <c r="L60" s="6" t="s">
        <v>569</v>
      </c>
      <c r="M60" s="6" t="s">
        <v>570</v>
      </c>
      <c r="N60" s="6" t="s">
        <v>571</v>
      </c>
      <c r="O60" s="5" t="s">
        <v>572</v>
      </c>
      <c r="P60" s="4" t="n">
        <v>12</v>
      </c>
      <c r="Q60" s="4" t="n">
        <v>10</v>
      </c>
      <c r="R60" s="4" t="n">
        <v>3</v>
      </c>
      <c r="S60" s="4" t="n">
        <v>5</v>
      </c>
      <c r="T60" s="4" t="n">
        <v>8</v>
      </c>
      <c r="U60" s="4" t="n">
        <v>4</v>
      </c>
      <c r="V60" s="4" t="n">
        <v>5</v>
      </c>
      <c r="W60" s="4" t="n">
        <v>4</v>
      </c>
      <c r="X60" s="4" t="n">
        <v>0</v>
      </c>
      <c r="Y60" s="4" t="n">
        <v>5</v>
      </c>
      <c r="Z60" s="4" t="n">
        <v>5</v>
      </c>
      <c r="AA60" s="7" t="n">
        <v>5</v>
      </c>
      <c r="AB60" s="7" t="n">
        <v>2</v>
      </c>
      <c r="AC60" s="4" t="n">
        <v>5</v>
      </c>
      <c r="AD60" s="8" t="n">
        <f aca="false">SUM(P60:AC60)</f>
        <v>73</v>
      </c>
      <c r="AE60" s="9" t="str">
        <f aca="false">IF(AD60&gt;=78,"Tier 1 Named",IF(AD60&gt;=68,"Tier 2 Priority",IF(AD60&gt;=58,"Tier 3 Volume",IF(AD60&gt;=45,"Nurture","Disqualify"))))</f>
        <v>Tier 2 Priority</v>
      </c>
      <c r="AF60" s="4" t="n">
        <v>1</v>
      </c>
      <c r="AG60" s="6"/>
    </row>
    <row r="61" customFormat="false" ht="91.5" hidden="false" customHeight="true" outlineLevel="0" collapsed="false">
      <c r="A61" s="4" t="n">
        <v>57</v>
      </c>
      <c r="B61" s="5" t="s">
        <v>573</v>
      </c>
      <c r="C61" s="5" t="s">
        <v>118</v>
      </c>
      <c r="D61" s="4" t="s">
        <v>323</v>
      </c>
      <c r="E61" s="5" t="s">
        <v>38</v>
      </c>
      <c r="F61" s="5" t="s">
        <v>87</v>
      </c>
      <c r="G61" s="5" t="s">
        <v>260</v>
      </c>
      <c r="H61" s="6" t="s">
        <v>574</v>
      </c>
      <c r="I61" s="6" t="s">
        <v>575</v>
      </c>
      <c r="J61" s="5" t="s">
        <v>576</v>
      </c>
      <c r="K61" s="5" t="s">
        <v>577</v>
      </c>
      <c r="L61" s="6" t="s">
        <v>578</v>
      </c>
      <c r="M61" s="6" t="s">
        <v>579</v>
      </c>
      <c r="N61" s="6" t="s">
        <v>580</v>
      </c>
      <c r="O61" s="5" t="s">
        <v>581</v>
      </c>
      <c r="P61" s="4" t="n">
        <v>12</v>
      </c>
      <c r="Q61" s="4" t="n">
        <v>10</v>
      </c>
      <c r="R61" s="4" t="n">
        <v>3</v>
      </c>
      <c r="S61" s="4" t="n">
        <v>4</v>
      </c>
      <c r="T61" s="4" t="n">
        <v>8</v>
      </c>
      <c r="U61" s="4" t="n">
        <v>2</v>
      </c>
      <c r="V61" s="4" t="n">
        <v>7</v>
      </c>
      <c r="W61" s="4" t="n">
        <v>2</v>
      </c>
      <c r="X61" s="4" t="n">
        <v>5</v>
      </c>
      <c r="Y61" s="4" t="n">
        <v>5</v>
      </c>
      <c r="Z61" s="4" t="n">
        <v>3</v>
      </c>
      <c r="AA61" s="7" t="n">
        <v>5</v>
      </c>
      <c r="AB61" s="7" t="n">
        <v>2</v>
      </c>
      <c r="AC61" s="4" t="n">
        <v>5</v>
      </c>
      <c r="AD61" s="8" t="n">
        <f aca="false">SUM(P61:AC61)</f>
        <v>73</v>
      </c>
      <c r="AE61" s="9" t="str">
        <f aca="false">IF(AD61&gt;=78,"Tier 1 Named",IF(AD61&gt;=68,"Tier 2 Priority",IF(AD61&gt;=58,"Tier 3 Volume",IF(AD61&gt;=45,"Nurture","Disqualify"))))</f>
        <v>Tier 2 Priority</v>
      </c>
      <c r="AF61" s="4" t="n">
        <v>3</v>
      </c>
      <c r="AG61" s="6"/>
    </row>
    <row r="62" customFormat="false" ht="91.5" hidden="false" customHeight="true" outlineLevel="0" collapsed="false">
      <c r="A62" s="4" t="n">
        <v>58</v>
      </c>
      <c r="B62" s="5" t="s">
        <v>582</v>
      </c>
      <c r="C62" s="5" t="s">
        <v>222</v>
      </c>
      <c r="D62" s="4" t="s">
        <v>249</v>
      </c>
      <c r="E62" s="5" t="s">
        <v>38</v>
      </c>
      <c r="F62" s="5" t="s">
        <v>324</v>
      </c>
      <c r="G62" s="5" t="s">
        <v>40</v>
      </c>
      <c r="H62" s="6" t="s">
        <v>583</v>
      </c>
      <c r="I62" s="6" t="s">
        <v>584</v>
      </c>
      <c r="J62" s="5" t="s">
        <v>585</v>
      </c>
      <c r="K62" s="5" t="s">
        <v>205</v>
      </c>
      <c r="L62" s="6" t="s">
        <v>586</v>
      </c>
      <c r="M62" s="6" t="s">
        <v>587</v>
      </c>
      <c r="N62" s="6" t="s">
        <v>588</v>
      </c>
      <c r="O62" s="5" t="s">
        <v>589</v>
      </c>
      <c r="P62" s="4" t="n">
        <v>12</v>
      </c>
      <c r="Q62" s="4" t="n">
        <v>10</v>
      </c>
      <c r="R62" s="4" t="n">
        <v>4</v>
      </c>
      <c r="S62" s="4" t="n">
        <v>5</v>
      </c>
      <c r="T62" s="4" t="n">
        <v>8</v>
      </c>
      <c r="U62" s="4" t="n">
        <v>4</v>
      </c>
      <c r="V62" s="4" t="n">
        <v>8</v>
      </c>
      <c r="W62" s="4" t="n">
        <v>2</v>
      </c>
      <c r="X62" s="4" t="n">
        <v>0</v>
      </c>
      <c r="Y62" s="4" t="n">
        <v>5</v>
      </c>
      <c r="Z62" s="4" t="n">
        <v>3</v>
      </c>
      <c r="AA62" s="7" t="n">
        <v>5</v>
      </c>
      <c r="AB62" s="7" t="n">
        <v>2</v>
      </c>
      <c r="AC62" s="4" t="n">
        <v>5</v>
      </c>
      <c r="AD62" s="8" t="n">
        <f aca="false">SUM(P62:AC62)</f>
        <v>73</v>
      </c>
      <c r="AE62" s="9" t="str">
        <f aca="false">IF(AD62&gt;=78,"Tier 1 Named",IF(AD62&gt;=68,"Tier 2 Priority",IF(AD62&gt;=58,"Tier 3 Volume",IF(AD62&gt;=45,"Nurture","Disqualify"))))</f>
        <v>Tier 2 Priority</v>
      </c>
      <c r="AF62" s="4" t="n">
        <v>1</v>
      </c>
      <c r="AG62" s="6"/>
    </row>
    <row r="63" customFormat="false" ht="91.5" hidden="false" customHeight="true" outlineLevel="0" collapsed="false">
      <c r="A63" s="4" t="n">
        <v>59</v>
      </c>
      <c r="B63" s="5" t="s">
        <v>590</v>
      </c>
      <c r="C63" s="5" t="s">
        <v>62</v>
      </c>
      <c r="D63" s="4" t="s">
        <v>200</v>
      </c>
      <c r="E63" s="5" t="s">
        <v>190</v>
      </c>
      <c r="F63" s="5" t="s">
        <v>39</v>
      </c>
      <c r="G63" s="5" t="s">
        <v>591</v>
      </c>
      <c r="H63" s="6" t="s">
        <v>592</v>
      </c>
      <c r="I63" s="6" t="s">
        <v>593</v>
      </c>
      <c r="J63" s="5" t="s">
        <v>594</v>
      </c>
      <c r="K63" s="5" t="s">
        <v>205</v>
      </c>
      <c r="L63" s="6" t="s">
        <v>595</v>
      </c>
      <c r="M63" s="6" t="s">
        <v>596</v>
      </c>
      <c r="N63" s="6" t="s">
        <v>597</v>
      </c>
      <c r="O63" s="5" t="s">
        <v>598</v>
      </c>
      <c r="P63" s="4" t="n">
        <v>12</v>
      </c>
      <c r="Q63" s="4" t="n">
        <v>9</v>
      </c>
      <c r="R63" s="4" t="n">
        <v>3</v>
      </c>
      <c r="S63" s="4" t="n">
        <v>7</v>
      </c>
      <c r="T63" s="4" t="n">
        <v>8</v>
      </c>
      <c r="U63" s="4" t="n">
        <v>4</v>
      </c>
      <c r="V63" s="4" t="n">
        <v>1</v>
      </c>
      <c r="W63" s="4" t="n">
        <v>4</v>
      </c>
      <c r="X63" s="4" t="n">
        <v>2</v>
      </c>
      <c r="Y63" s="4" t="n">
        <v>5</v>
      </c>
      <c r="Z63" s="4" t="n">
        <v>6</v>
      </c>
      <c r="AA63" s="7" t="n">
        <v>5</v>
      </c>
      <c r="AB63" s="7" t="n">
        <v>2</v>
      </c>
      <c r="AC63" s="4" t="n">
        <v>5</v>
      </c>
      <c r="AD63" s="8" t="n">
        <f aca="false">SUM(P63:AC63)</f>
        <v>73</v>
      </c>
      <c r="AE63" s="9" t="str">
        <f aca="false">IF(AD63&gt;=78,"Tier 1 Named",IF(AD63&gt;=68,"Tier 2 Priority",IF(AD63&gt;=58,"Tier 3 Volume",IF(AD63&gt;=45,"Nurture","Disqualify"))))</f>
        <v>Tier 2 Priority</v>
      </c>
      <c r="AF63" s="4" t="n">
        <v>1</v>
      </c>
      <c r="AG63" s="6" t="s">
        <v>599</v>
      </c>
    </row>
    <row r="64" customFormat="false" ht="91.5" hidden="false" customHeight="true" outlineLevel="0" collapsed="false">
      <c r="A64" s="4" t="n">
        <v>60</v>
      </c>
      <c r="B64" s="5" t="s">
        <v>600</v>
      </c>
      <c r="C64" s="5" t="s">
        <v>188</v>
      </c>
      <c r="D64" s="4" t="s">
        <v>323</v>
      </c>
      <c r="E64" s="5" t="s">
        <v>38</v>
      </c>
      <c r="F64" s="5" t="s">
        <v>601</v>
      </c>
      <c r="G64" s="5" t="s">
        <v>40</v>
      </c>
      <c r="H64" s="6" t="s">
        <v>602</v>
      </c>
      <c r="I64" s="6" t="s">
        <v>603</v>
      </c>
      <c r="J64" s="5" t="s">
        <v>604</v>
      </c>
      <c r="K64" s="5" t="s">
        <v>67</v>
      </c>
      <c r="L64" s="6" t="s">
        <v>605</v>
      </c>
      <c r="M64" s="6" t="s">
        <v>606</v>
      </c>
      <c r="N64" s="6" t="s">
        <v>607</v>
      </c>
      <c r="O64" s="5" t="s">
        <v>608</v>
      </c>
      <c r="P64" s="4" t="n">
        <v>12</v>
      </c>
      <c r="Q64" s="4" t="n">
        <v>10</v>
      </c>
      <c r="R64" s="4" t="n">
        <v>3</v>
      </c>
      <c r="S64" s="4" t="n">
        <v>7</v>
      </c>
      <c r="T64" s="4" t="n">
        <v>8</v>
      </c>
      <c r="U64" s="4" t="n">
        <v>6</v>
      </c>
      <c r="V64" s="4" t="n">
        <v>1</v>
      </c>
      <c r="W64" s="4" t="n">
        <v>0</v>
      </c>
      <c r="X64" s="4" t="n">
        <v>5</v>
      </c>
      <c r="Y64" s="4" t="n">
        <v>2</v>
      </c>
      <c r="Z64" s="4" t="n">
        <v>6</v>
      </c>
      <c r="AA64" s="7" t="n">
        <v>5</v>
      </c>
      <c r="AB64" s="7" t="n">
        <v>2</v>
      </c>
      <c r="AC64" s="4" t="n">
        <v>5</v>
      </c>
      <c r="AD64" s="8" t="n">
        <f aca="false">SUM(P64:AC64)</f>
        <v>72</v>
      </c>
      <c r="AE64" s="9" t="str">
        <f aca="false">IF(AD64&gt;=78,"Tier 1 Named",IF(AD64&gt;=68,"Tier 2 Priority",IF(AD64&gt;=58,"Tier 3 Volume",IF(AD64&gt;=45,"Nurture","Disqualify"))))</f>
        <v>Tier 2 Priority</v>
      </c>
      <c r="AF64" s="4" t="n">
        <v>1</v>
      </c>
      <c r="AG64" s="6" t="s">
        <v>609</v>
      </c>
    </row>
    <row r="65" customFormat="false" ht="91.5" hidden="false" customHeight="true" outlineLevel="0" collapsed="false">
      <c r="A65" s="4" t="n">
        <v>61</v>
      </c>
      <c r="B65" s="5" t="s">
        <v>610</v>
      </c>
      <c r="C65" s="5" t="s">
        <v>118</v>
      </c>
      <c r="D65" s="4" t="s">
        <v>212</v>
      </c>
      <c r="E65" s="5" t="s">
        <v>38</v>
      </c>
      <c r="F65" s="5" t="s">
        <v>324</v>
      </c>
      <c r="G65" s="5" t="s">
        <v>40</v>
      </c>
      <c r="H65" s="6" t="s">
        <v>611</v>
      </c>
      <c r="I65" s="6" t="s">
        <v>612</v>
      </c>
      <c r="J65" s="5" t="s">
        <v>613</v>
      </c>
      <c r="K65" s="5" t="s">
        <v>67</v>
      </c>
      <c r="L65" s="6" t="s">
        <v>393</v>
      </c>
      <c r="M65" s="6" t="s">
        <v>614</v>
      </c>
      <c r="N65" s="6" t="s">
        <v>615</v>
      </c>
      <c r="O65" s="5" t="s">
        <v>616</v>
      </c>
      <c r="P65" s="4" t="n">
        <v>12</v>
      </c>
      <c r="Q65" s="4" t="n">
        <v>10</v>
      </c>
      <c r="R65" s="4" t="n">
        <v>3</v>
      </c>
      <c r="S65" s="4" t="n">
        <v>5</v>
      </c>
      <c r="T65" s="4" t="n">
        <v>8</v>
      </c>
      <c r="U65" s="4" t="n">
        <v>4</v>
      </c>
      <c r="V65" s="4" t="n">
        <v>1</v>
      </c>
      <c r="W65" s="4" t="n">
        <v>2</v>
      </c>
      <c r="X65" s="4" t="n">
        <v>5</v>
      </c>
      <c r="Y65" s="4" t="n">
        <v>5</v>
      </c>
      <c r="Z65" s="4" t="n">
        <v>5</v>
      </c>
      <c r="AA65" s="7" t="n">
        <v>5</v>
      </c>
      <c r="AB65" s="7" t="n">
        <v>2</v>
      </c>
      <c r="AC65" s="4" t="n">
        <v>5</v>
      </c>
      <c r="AD65" s="8" t="n">
        <f aca="false">SUM(P65:AC65)</f>
        <v>72</v>
      </c>
      <c r="AE65" s="9" t="str">
        <f aca="false">IF(AD65&gt;=78,"Tier 1 Named",IF(AD65&gt;=68,"Tier 2 Priority",IF(AD65&gt;=58,"Tier 3 Volume",IF(AD65&gt;=45,"Nurture","Disqualify"))))</f>
        <v>Tier 2 Priority</v>
      </c>
      <c r="AF65" s="4" t="n">
        <v>2</v>
      </c>
      <c r="AG65" s="6"/>
    </row>
    <row r="66" customFormat="false" ht="91.5" hidden="false" customHeight="true" outlineLevel="0" collapsed="false">
      <c r="A66" s="4" t="n">
        <v>62</v>
      </c>
      <c r="B66" s="5" t="s">
        <v>617</v>
      </c>
      <c r="C66" s="5" t="s">
        <v>296</v>
      </c>
      <c r="D66" s="4" t="s">
        <v>249</v>
      </c>
      <c r="E66" s="5" t="s">
        <v>190</v>
      </c>
      <c r="F66" s="5" t="s">
        <v>87</v>
      </c>
      <c r="G66" s="5" t="s">
        <v>40</v>
      </c>
      <c r="H66" s="6" t="s">
        <v>618</v>
      </c>
      <c r="I66" s="6" t="s">
        <v>619</v>
      </c>
      <c r="J66" s="5" t="s">
        <v>299</v>
      </c>
      <c r="K66" s="5" t="s">
        <v>577</v>
      </c>
      <c r="L66" s="6" t="s">
        <v>620</v>
      </c>
      <c r="M66" s="6" t="s">
        <v>621</v>
      </c>
      <c r="N66" s="6" t="s">
        <v>622</v>
      </c>
      <c r="O66" s="5" t="s">
        <v>623</v>
      </c>
      <c r="P66" s="4" t="n">
        <v>12</v>
      </c>
      <c r="Q66" s="4" t="n">
        <v>9</v>
      </c>
      <c r="R66" s="4" t="n">
        <v>3</v>
      </c>
      <c r="S66" s="4" t="n">
        <v>4</v>
      </c>
      <c r="T66" s="4" t="n">
        <v>8</v>
      </c>
      <c r="U66" s="4" t="n">
        <v>2</v>
      </c>
      <c r="V66" s="4" t="n">
        <v>8</v>
      </c>
      <c r="W66" s="4" t="n">
        <v>6</v>
      </c>
      <c r="X66" s="4" t="n">
        <v>0</v>
      </c>
      <c r="Y66" s="4" t="n">
        <v>5</v>
      </c>
      <c r="Z66" s="4" t="n">
        <v>3</v>
      </c>
      <c r="AA66" s="7" t="n">
        <v>5</v>
      </c>
      <c r="AB66" s="7" t="n">
        <v>2</v>
      </c>
      <c r="AC66" s="4" t="n">
        <v>5</v>
      </c>
      <c r="AD66" s="8" t="n">
        <f aca="false">SUM(P66:AC66)</f>
        <v>72</v>
      </c>
      <c r="AE66" s="9" t="str">
        <f aca="false">IF(AD66&gt;=78,"Tier 1 Named",IF(AD66&gt;=68,"Tier 2 Priority",IF(AD66&gt;=58,"Tier 3 Volume",IF(AD66&gt;=45,"Nurture","Disqualify"))))</f>
        <v>Tier 2 Priority</v>
      </c>
      <c r="AF66" s="4" t="n">
        <v>2</v>
      </c>
      <c r="AG66" s="6" t="s">
        <v>624</v>
      </c>
    </row>
    <row r="67" customFormat="false" ht="91.5" hidden="false" customHeight="true" outlineLevel="0" collapsed="false">
      <c r="A67" s="4" t="n">
        <v>63</v>
      </c>
      <c r="B67" s="5" t="s">
        <v>625</v>
      </c>
      <c r="C67" s="5" t="s">
        <v>222</v>
      </c>
      <c r="D67" s="4" t="s">
        <v>37</v>
      </c>
      <c r="E67" s="5" t="s">
        <v>106</v>
      </c>
      <c r="F67" s="5" t="s">
        <v>458</v>
      </c>
      <c r="G67" s="5" t="s">
        <v>40</v>
      </c>
      <c r="H67" s="6" t="s">
        <v>626</v>
      </c>
      <c r="I67" s="6" t="s">
        <v>627</v>
      </c>
      <c r="J67" s="5" t="s">
        <v>371</v>
      </c>
      <c r="K67" s="5" t="s">
        <v>44</v>
      </c>
      <c r="L67" s="6" t="s">
        <v>628</v>
      </c>
      <c r="M67" s="6" t="s">
        <v>629</v>
      </c>
      <c r="N67" s="6" t="s">
        <v>630</v>
      </c>
      <c r="O67" s="5" t="s">
        <v>375</v>
      </c>
      <c r="P67" s="4" t="n">
        <v>12</v>
      </c>
      <c r="Q67" s="4" t="n">
        <v>8</v>
      </c>
      <c r="R67" s="4" t="n">
        <v>3</v>
      </c>
      <c r="S67" s="4" t="n">
        <v>7</v>
      </c>
      <c r="T67" s="4" t="n">
        <v>8</v>
      </c>
      <c r="U67" s="4" t="n">
        <v>4</v>
      </c>
      <c r="V67" s="4" t="n">
        <v>8</v>
      </c>
      <c r="W67" s="4" t="n">
        <v>4</v>
      </c>
      <c r="X67" s="4" t="n">
        <v>0</v>
      </c>
      <c r="Y67" s="4" t="n">
        <v>5</v>
      </c>
      <c r="Z67" s="4" t="n">
        <v>3</v>
      </c>
      <c r="AA67" s="7" t="n">
        <v>5</v>
      </c>
      <c r="AB67" s="7" t="n">
        <v>2</v>
      </c>
      <c r="AC67" s="4" t="n">
        <v>3</v>
      </c>
      <c r="AD67" s="8" t="n">
        <f aca="false">SUM(P67:AC67)</f>
        <v>72</v>
      </c>
      <c r="AE67" s="9" t="str">
        <f aca="false">IF(AD67&gt;=78,"Tier 1 Named",IF(AD67&gt;=68,"Tier 2 Priority",IF(AD67&gt;=58,"Tier 3 Volume",IF(AD67&gt;=45,"Nurture","Disqualify"))))</f>
        <v>Tier 2 Priority</v>
      </c>
      <c r="AF67" s="4" t="n">
        <v>2</v>
      </c>
      <c r="AG67" s="6"/>
    </row>
    <row r="68" customFormat="false" ht="91.5" hidden="false" customHeight="true" outlineLevel="0" collapsed="false">
      <c r="A68" s="4" t="n">
        <v>64</v>
      </c>
      <c r="B68" s="5" t="s">
        <v>631</v>
      </c>
      <c r="C68" s="5" t="s">
        <v>632</v>
      </c>
      <c r="D68" s="4" t="s">
        <v>95</v>
      </c>
      <c r="E68" s="5" t="s">
        <v>38</v>
      </c>
      <c r="F68" s="5" t="s">
        <v>39</v>
      </c>
      <c r="G68" s="5" t="s">
        <v>40</v>
      </c>
      <c r="H68" s="6" t="s">
        <v>633</v>
      </c>
      <c r="I68" s="6" t="s">
        <v>634</v>
      </c>
      <c r="J68" s="5" t="s">
        <v>635</v>
      </c>
      <c r="K68" s="5" t="s">
        <v>67</v>
      </c>
      <c r="L68" s="6" t="s">
        <v>636</v>
      </c>
      <c r="M68" s="6" t="s">
        <v>637</v>
      </c>
      <c r="N68" s="6" t="s">
        <v>638</v>
      </c>
      <c r="O68" s="5" t="s">
        <v>494</v>
      </c>
      <c r="P68" s="4" t="n">
        <v>12</v>
      </c>
      <c r="Q68" s="4" t="n">
        <v>10</v>
      </c>
      <c r="R68" s="4" t="n">
        <v>3</v>
      </c>
      <c r="S68" s="4" t="n">
        <v>7</v>
      </c>
      <c r="T68" s="4" t="n">
        <v>8</v>
      </c>
      <c r="U68" s="4" t="n">
        <v>4</v>
      </c>
      <c r="V68" s="4" t="n">
        <v>1</v>
      </c>
      <c r="W68" s="4" t="n">
        <v>7</v>
      </c>
      <c r="X68" s="4" t="n">
        <v>0</v>
      </c>
      <c r="Y68" s="4" t="n">
        <v>5</v>
      </c>
      <c r="Z68" s="4" t="n">
        <v>5</v>
      </c>
      <c r="AA68" s="7" t="n">
        <v>5</v>
      </c>
      <c r="AB68" s="7" t="n">
        <v>2</v>
      </c>
      <c r="AC68" s="4" t="n">
        <v>3</v>
      </c>
      <c r="AD68" s="8" t="n">
        <f aca="false">SUM(P68:AC68)</f>
        <v>72</v>
      </c>
      <c r="AE68" s="9" t="str">
        <f aca="false">IF(AD68&gt;=78,"Tier 1 Named",IF(AD68&gt;=68,"Tier 2 Priority",IF(AD68&gt;=58,"Tier 3 Volume",IF(AD68&gt;=45,"Nurture","Disqualify"))))</f>
        <v>Tier 2 Priority</v>
      </c>
      <c r="AF68" s="4" t="n">
        <v>2</v>
      </c>
      <c r="AG68" s="6"/>
    </row>
    <row r="69" customFormat="false" ht="91.5" hidden="false" customHeight="true" outlineLevel="0" collapsed="false">
      <c r="A69" s="4" t="n">
        <v>65</v>
      </c>
      <c r="B69" s="5" t="s">
        <v>639</v>
      </c>
      <c r="C69" s="5" t="s">
        <v>118</v>
      </c>
      <c r="D69" s="4" t="s">
        <v>361</v>
      </c>
      <c r="E69" s="5" t="s">
        <v>343</v>
      </c>
      <c r="F69" s="5" t="s">
        <v>640</v>
      </c>
      <c r="G69" s="5" t="s">
        <v>40</v>
      </c>
      <c r="H69" s="6" t="s">
        <v>641</v>
      </c>
      <c r="I69" s="6" t="s">
        <v>642</v>
      </c>
      <c r="J69" s="5" t="s">
        <v>643</v>
      </c>
      <c r="K69" s="5" t="s">
        <v>80</v>
      </c>
      <c r="L69" s="6" t="s">
        <v>644</v>
      </c>
      <c r="M69" s="6" t="s">
        <v>645</v>
      </c>
      <c r="N69" s="6" t="s">
        <v>646</v>
      </c>
      <c r="O69" s="5" t="s">
        <v>647</v>
      </c>
      <c r="P69" s="4" t="n">
        <v>12</v>
      </c>
      <c r="Q69" s="4" t="n">
        <v>5</v>
      </c>
      <c r="R69" s="4" t="n">
        <v>2</v>
      </c>
      <c r="S69" s="4" t="n">
        <v>8</v>
      </c>
      <c r="T69" s="4" t="n">
        <v>10</v>
      </c>
      <c r="U69" s="4" t="n">
        <v>4</v>
      </c>
      <c r="V69" s="4" t="n">
        <v>7</v>
      </c>
      <c r="W69" s="4" t="n">
        <v>4</v>
      </c>
      <c r="X69" s="4" t="n">
        <v>0</v>
      </c>
      <c r="Y69" s="4" t="n">
        <v>6</v>
      </c>
      <c r="Z69" s="4" t="n">
        <v>6</v>
      </c>
      <c r="AA69" s="7" t="n">
        <v>5</v>
      </c>
      <c r="AB69" s="7" t="n">
        <v>2</v>
      </c>
      <c r="AC69" s="4" t="n">
        <v>1</v>
      </c>
      <c r="AD69" s="8" t="n">
        <f aca="false">SUM(P69:AC69)</f>
        <v>72</v>
      </c>
      <c r="AE69" s="9" t="str">
        <f aca="false">IF(AD69&gt;=78,"Tier 1 Named",IF(AD69&gt;=68,"Tier 2 Priority",IF(AD69&gt;=58,"Tier 3 Volume",IF(AD69&gt;=45,"Nurture","Disqualify"))))</f>
        <v>Tier 2 Priority</v>
      </c>
      <c r="AF69" s="4" t="n">
        <v>1</v>
      </c>
      <c r="AG69" s="6" t="s">
        <v>648</v>
      </c>
    </row>
    <row r="70" customFormat="false" ht="91.5" hidden="false" customHeight="true" outlineLevel="0" collapsed="false">
      <c r="A70" s="4" t="n">
        <v>66</v>
      </c>
      <c r="B70" s="5" t="s">
        <v>649</v>
      </c>
      <c r="C70" s="5" t="s">
        <v>222</v>
      </c>
      <c r="D70" s="4" t="s">
        <v>37</v>
      </c>
      <c r="E70" s="5" t="s">
        <v>343</v>
      </c>
      <c r="F70" s="5" t="s">
        <v>162</v>
      </c>
      <c r="G70" s="5" t="s">
        <v>40</v>
      </c>
      <c r="H70" s="6" t="s">
        <v>650</v>
      </c>
      <c r="I70" s="6" t="s">
        <v>651</v>
      </c>
      <c r="J70" s="5" t="s">
        <v>652</v>
      </c>
      <c r="K70" s="5" t="s">
        <v>144</v>
      </c>
      <c r="L70" s="6" t="s">
        <v>372</v>
      </c>
      <c r="M70" s="6" t="s">
        <v>653</v>
      </c>
      <c r="N70" s="6" t="s">
        <v>654</v>
      </c>
      <c r="O70" s="5" t="s">
        <v>229</v>
      </c>
      <c r="P70" s="4" t="n">
        <v>12</v>
      </c>
      <c r="Q70" s="4" t="n">
        <v>5</v>
      </c>
      <c r="R70" s="4" t="n">
        <v>2</v>
      </c>
      <c r="S70" s="4" t="n">
        <v>8</v>
      </c>
      <c r="T70" s="4" t="n">
        <v>10</v>
      </c>
      <c r="U70" s="4" t="n">
        <v>4</v>
      </c>
      <c r="V70" s="4" t="n">
        <v>8</v>
      </c>
      <c r="W70" s="4" t="n">
        <v>4</v>
      </c>
      <c r="X70" s="4" t="n">
        <v>0</v>
      </c>
      <c r="Y70" s="4" t="n">
        <v>5</v>
      </c>
      <c r="Z70" s="4" t="n">
        <v>5</v>
      </c>
      <c r="AA70" s="7" t="n">
        <v>5</v>
      </c>
      <c r="AB70" s="7" t="n">
        <v>2</v>
      </c>
      <c r="AC70" s="4" t="n">
        <v>1</v>
      </c>
      <c r="AD70" s="8" t="n">
        <f aca="false">SUM(P70:AC70)</f>
        <v>71</v>
      </c>
      <c r="AE70" s="9" t="str">
        <f aca="false">IF(AD70&gt;=78,"Tier 1 Named",IF(AD70&gt;=68,"Tier 2 Priority",IF(AD70&gt;=58,"Tier 3 Volume",IF(AD70&gt;=45,"Nurture","Disqualify"))))</f>
        <v>Tier 2 Priority</v>
      </c>
      <c r="AF70" s="4" t="n">
        <v>2</v>
      </c>
      <c r="AG70" s="6" t="s">
        <v>655</v>
      </c>
    </row>
    <row r="71" customFormat="false" ht="91.5" hidden="false" customHeight="true" outlineLevel="0" collapsed="false">
      <c r="A71" s="4" t="n">
        <v>67</v>
      </c>
      <c r="B71" s="5" t="s">
        <v>656</v>
      </c>
      <c r="C71" s="5" t="s">
        <v>657</v>
      </c>
      <c r="D71" s="4" t="s">
        <v>200</v>
      </c>
      <c r="E71" s="5" t="s">
        <v>38</v>
      </c>
      <c r="F71" s="5" t="s">
        <v>39</v>
      </c>
      <c r="G71" s="5" t="s">
        <v>40</v>
      </c>
      <c r="H71" s="6" t="s">
        <v>658</v>
      </c>
      <c r="I71" s="6" t="s">
        <v>659</v>
      </c>
      <c r="J71" s="5" t="s">
        <v>660</v>
      </c>
      <c r="K71" s="5" t="s">
        <v>661</v>
      </c>
      <c r="L71" s="6" t="s">
        <v>243</v>
      </c>
      <c r="M71" s="6" t="s">
        <v>662</v>
      </c>
      <c r="N71" s="6" t="s">
        <v>663</v>
      </c>
      <c r="O71" s="5" t="s">
        <v>664</v>
      </c>
      <c r="P71" s="4" t="n">
        <v>12</v>
      </c>
      <c r="Q71" s="4" t="n">
        <v>10</v>
      </c>
      <c r="R71" s="4" t="n">
        <v>3</v>
      </c>
      <c r="S71" s="4" t="n">
        <v>7</v>
      </c>
      <c r="T71" s="4" t="n">
        <v>8</v>
      </c>
      <c r="U71" s="4" t="n">
        <v>6</v>
      </c>
      <c r="V71" s="4" t="n">
        <v>1</v>
      </c>
      <c r="W71" s="4" t="n">
        <v>4</v>
      </c>
      <c r="X71" s="4" t="n">
        <v>0</v>
      </c>
      <c r="Y71" s="4" t="n">
        <v>5</v>
      </c>
      <c r="Z71" s="4" t="n">
        <v>5</v>
      </c>
      <c r="AA71" s="7" t="n">
        <v>5</v>
      </c>
      <c r="AB71" s="7" t="n">
        <v>2</v>
      </c>
      <c r="AC71" s="4" t="n">
        <v>3</v>
      </c>
      <c r="AD71" s="8" t="n">
        <f aca="false">SUM(P71:AC71)</f>
        <v>71</v>
      </c>
      <c r="AE71" s="9" t="str">
        <f aca="false">IF(AD71&gt;=78,"Tier 1 Named",IF(AD71&gt;=68,"Tier 2 Priority",IF(AD71&gt;=58,"Tier 3 Volume",IF(AD71&gt;=45,"Nurture","Disqualify"))))</f>
        <v>Tier 2 Priority</v>
      </c>
      <c r="AF71" s="4" t="n">
        <v>2</v>
      </c>
      <c r="AG71" s="6" t="s">
        <v>665</v>
      </c>
    </row>
    <row r="72" customFormat="false" ht="91.5" hidden="false" customHeight="true" outlineLevel="0" collapsed="false">
      <c r="A72" s="4" t="n">
        <v>68</v>
      </c>
      <c r="B72" s="5" t="s">
        <v>666</v>
      </c>
      <c r="C72" s="5" t="s">
        <v>118</v>
      </c>
      <c r="D72" s="4" t="s">
        <v>361</v>
      </c>
      <c r="E72" s="5" t="s">
        <v>343</v>
      </c>
      <c r="F72" s="5" t="s">
        <v>162</v>
      </c>
      <c r="G72" s="5" t="s">
        <v>40</v>
      </c>
      <c r="H72" s="6" t="s">
        <v>667</v>
      </c>
      <c r="I72" s="6" t="s">
        <v>668</v>
      </c>
      <c r="J72" s="5" t="s">
        <v>669</v>
      </c>
      <c r="K72" s="5" t="s">
        <v>80</v>
      </c>
      <c r="L72" s="6" t="s">
        <v>452</v>
      </c>
      <c r="M72" s="6" t="s">
        <v>670</v>
      </c>
      <c r="N72" s="6" t="s">
        <v>671</v>
      </c>
      <c r="O72" s="5" t="s">
        <v>672</v>
      </c>
      <c r="P72" s="4" t="n">
        <v>12</v>
      </c>
      <c r="Q72" s="4" t="n">
        <v>5</v>
      </c>
      <c r="R72" s="4" t="n">
        <v>2</v>
      </c>
      <c r="S72" s="4" t="n">
        <v>8</v>
      </c>
      <c r="T72" s="4" t="n">
        <v>10</v>
      </c>
      <c r="U72" s="4" t="n">
        <v>4</v>
      </c>
      <c r="V72" s="4" t="n">
        <v>3</v>
      </c>
      <c r="W72" s="4" t="n">
        <v>2</v>
      </c>
      <c r="X72" s="4" t="n">
        <v>5</v>
      </c>
      <c r="Y72" s="4" t="n">
        <v>6</v>
      </c>
      <c r="Z72" s="4" t="n">
        <v>6</v>
      </c>
      <c r="AA72" s="7" t="n">
        <v>5</v>
      </c>
      <c r="AB72" s="7" t="n">
        <v>2</v>
      </c>
      <c r="AC72" s="4" t="n">
        <v>1</v>
      </c>
      <c r="AD72" s="8" t="n">
        <f aca="false">SUM(P72:AC72)</f>
        <v>71</v>
      </c>
      <c r="AE72" s="9" t="str">
        <f aca="false">IF(AD72&gt;=78,"Tier 1 Named",IF(AD72&gt;=68,"Tier 2 Priority",IF(AD72&gt;=58,"Tier 3 Volume",IF(AD72&gt;=45,"Nurture","Disqualify"))))</f>
        <v>Tier 2 Priority</v>
      </c>
      <c r="AF72" s="4" t="n">
        <v>1</v>
      </c>
      <c r="AG72" s="6" t="s">
        <v>673</v>
      </c>
    </row>
    <row r="73" customFormat="false" ht="91.5" hidden="false" customHeight="true" outlineLevel="0" collapsed="false">
      <c r="A73" s="4" t="n">
        <v>69</v>
      </c>
      <c r="B73" s="5" t="s">
        <v>674</v>
      </c>
      <c r="C73" s="5" t="s">
        <v>222</v>
      </c>
      <c r="D73" s="4" t="s">
        <v>249</v>
      </c>
      <c r="E73" s="5" t="s">
        <v>38</v>
      </c>
      <c r="F73" s="5" t="s">
        <v>162</v>
      </c>
      <c r="G73" s="5" t="s">
        <v>40</v>
      </c>
      <c r="H73" s="6" t="s">
        <v>675</v>
      </c>
      <c r="I73" s="6" t="s">
        <v>676</v>
      </c>
      <c r="J73" s="5" t="s">
        <v>677</v>
      </c>
      <c r="K73" s="5" t="s">
        <v>205</v>
      </c>
      <c r="L73" s="6" t="s">
        <v>678</v>
      </c>
      <c r="M73" s="6" t="s">
        <v>679</v>
      </c>
      <c r="N73" s="6" t="s">
        <v>680</v>
      </c>
      <c r="O73" s="5" t="s">
        <v>681</v>
      </c>
      <c r="P73" s="4" t="n">
        <v>12</v>
      </c>
      <c r="Q73" s="4" t="n">
        <v>10</v>
      </c>
      <c r="R73" s="4" t="n">
        <v>3</v>
      </c>
      <c r="S73" s="4" t="n">
        <v>5</v>
      </c>
      <c r="T73" s="4" t="n">
        <v>8</v>
      </c>
      <c r="U73" s="4" t="n">
        <v>2</v>
      </c>
      <c r="V73" s="4" t="n">
        <v>5</v>
      </c>
      <c r="W73" s="4" t="n">
        <v>4</v>
      </c>
      <c r="X73" s="4" t="n">
        <v>0</v>
      </c>
      <c r="Y73" s="4" t="n">
        <v>6</v>
      </c>
      <c r="Z73" s="4" t="n">
        <v>3</v>
      </c>
      <c r="AA73" s="7" t="n">
        <v>5</v>
      </c>
      <c r="AB73" s="7" t="n">
        <v>2</v>
      </c>
      <c r="AC73" s="4" t="n">
        <v>5</v>
      </c>
      <c r="AD73" s="8" t="n">
        <f aca="false">SUM(P73:AC73)</f>
        <v>70</v>
      </c>
      <c r="AE73" s="9" t="str">
        <f aca="false">IF(AD73&gt;=78,"Tier 1 Named",IF(AD73&gt;=68,"Tier 2 Priority",IF(AD73&gt;=58,"Tier 3 Volume",IF(AD73&gt;=45,"Nurture","Disqualify"))))</f>
        <v>Tier 2 Priority</v>
      </c>
      <c r="AF73" s="4" t="n">
        <v>2</v>
      </c>
      <c r="AG73" s="6"/>
    </row>
    <row r="74" customFormat="false" ht="91.5" hidden="false" customHeight="true" outlineLevel="0" collapsed="false">
      <c r="A74" s="4" t="n">
        <v>70</v>
      </c>
      <c r="B74" s="5" t="s">
        <v>682</v>
      </c>
      <c r="C74" s="5" t="s">
        <v>378</v>
      </c>
      <c r="D74" s="4" t="s">
        <v>37</v>
      </c>
      <c r="E74" s="5" t="s">
        <v>106</v>
      </c>
      <c r="F74" s="5" t="s">
        <v>683</v>
      </c>
      <c r="G74" s="5" t="s">
        <v>40</v>
      </c>
      <c r="H74" s="6" t="s">
        <v>684</v>
      </c>
      <c r="I74" s="6" t="s">
        <v>685</v>
      </c>
      <c r="J74" s="5" t="s">
        <v>686</v>
      </c>
      <c r="K74" s="5" t="s">
        <v>144</v>
      </c>
      <c r="L74" s="6" t="s">
        <v>687</v>
      </c>
      <c r="M74" s="6" t="s">
        <v>688</v>
      </c>
      <c r="N74" s="6" t="s">
        <v>689</v>
      </c>
      <c r="O74" s="5" t="s">
        <v>690</v>
      </c>
      <c r="P74" s="4" t="n">
        <v>12</v>
      </c>
      <c r="Q74" s="4" t="n">
        <v>8</v>
      </c>
      <c r="R74" s="4" t="n">
        <v>2</v>
      </c>
      <c r="S74" s="4" t="n">
        <v>7</v>
      </c>
      <c r="T74" s="4" t="n">
        <v>8</v>
      </c>
      <c r="U74" s="4" t="n">
        <v>2</v>
      </c>
      <c r="V74" s="4" t="n">
        <v>5</v>
      </c>
      <c r="W74" s="4" t="n">
        <v>7</v>
      </c>
      <c r="X74" s="4" t="n">
        <v>0</v>
      </c>
      <c r="Y74" s="4" t="n">
        <v>6</v>
      </c>
      <c r="Z74" s="4" t="n">
        <v>3</v>
      </c>
      <c r="AA74" s="7" t="n">
        <v>5</v>
      </c>
      <c r="AB74" s="7" t="n">
        <v>2</v>
      </c>
      <c r="AC74" s="4" t="n">
        <v>3</v>
      </c>
      <c r="AD74" s="8" t="n">
        <f aca="false">SUM(P74:AC74)</f>
        <v>70</v>
      </c>
      <c r="AE74" s="9" t="str">
        <f aca="false">IF(AD74&gt;=78,"Tier 1 Named",IF(AD74&gt;=68,"Tier 2 Priority",IF(AD74&gt;=58,"Tier 3 Volume",IF(AD74&gt;=45,"Nurture","Disqualify"))))</f>
        <v>Tier 2 Priority</v>
      </c>
      <c r="AF74" s="4" t="n">
        <v>1</v>
      </c>
      <c r="AG74" s="6" t="s">
        <v>691</v>
      </c>
    </row>
    <row r="75" customFormat="false" ht="91.5" hidden="false" customHeight="true" outlineLevel="0" collapsed="false">
      <c r="A75" s="4" t="n">
        <v>71</v>
      </c>
      <c r="B75" s="5" t="s">
        <v>692</v>
      </c>
      <c r="C75" s="5" t="s">
        <v>222</v>
      </c>
      <c r="D75" s="4" t="s">
        <v>693</v>
      </c>
      <c r="E75" s="5" t="s">
        <v>38</v>
      </c>
      <c r="F75" s="5" t="s">
        <v>458</v>
      </c>
      <c r="G75" s="5" t="s">
        <v>40</v>
      </c>
      <c r="H75" s="6" t="s">
        <v>694</v>
      </c>
      <c r="I75" s="6" t="s">
        <v>695</v>
      </c>
      <c r="J75" s="5" t="s">
        <v>696</v>
      </c>
      <c r="K75" s="5" t="s">
        <v>205</v>
      </c>
      <c r="L75" s="6" t="s">
        <v>290</v>
      </c>
      <c r="M75" s="6" t="s">
        <v>697</v>
      </c>
      <c r="N75" s="6" t="s">
        <v>698</v>
      </c>
      <c r="O75" s="5" t="s">
        <v>549</v>
      </c>
      <c r="P75" s="4" t="n">
        <v>12</v>
      </c>
      <c r="Q75" s="4" t="n">
        <v>10</v>
      </c>
      <c r="R75" s="4" t="n">
        <v>3</v>
      </c>
      <c r="S75" s="4" t="n">
        <v>5</v>
      </c>
      <c r="T75" s="4" t="n">
        <v>8</v>
      </c>
      <c r="U75" s="4" t="n">
        <v>4</v>
      </c>
      <c r="V75" s="4" t="n">
        <v>3</v>
      </c>
      <c r="W75" s="4" t="n">
        <v>2</v>
      </c>
      <c r="X75" s="4" t="n">
        <v>0</v>
      </c>
      <c r="Y75" s="4" t="n">
        <v>5</v>
      </c>
      <c r="Z75" s="4" t="n">
        <v>5</v>
      </c>
      <c r="AA75" s="7" t="n">
        <v>5</v>
      </c>
      <c r="AB75" s="7" t="n">
        <v>2</v>
      </c>
      <c r="AC75" s="4" t="n">
        <v>5</v>
      </c>
      <c r="AD75" s="8" t="n">
        <f aca="false">SUM(P75:AC75)</f>
        <v>69</v>
      </c>
      <c r="AE75" s="9" t="str">
        <f aca="false">IF(AD75&gt;=78,"Tier 1 Named",IF(AD75&gt;=68,"Tier 2 Priority",IF(AD75&gt;=58,"Tier 3 Volume",IF(AD75&gt;=45,"Nurture","Disqualify"))))</f>
        <v>Tier 2 Priority</v>
      </c>
      <c r="AF75" s="4" t="n">
        <v>2</v>
      </c>
      <c r="AG75" s="6"/>
    </row>
    <row r="76" customFormat="false" ht="91.5" hidden="false" customHeight="true" outlineLevel="0" collapsed="false">
      <c r="A76" s="4" t="n">
        <v>72</v>
      </c>
      <c r="B76" s="5" t="s">
        <v>699</v>
      </c>
      <c r="C76" s="5" t="s">
        <v>118</v>
      </c>
      <c r="D76" s="4" t="s">
        <v>389</v>
      </c>
      <c r="E76" s="5" t="s">
        <v>38</v>
      </c>
      <c r="F76" s="5" t="s">
        <v>39</v>
      </c>
      <c r="G76" s="5" t="s">
        <v>40</v>
      </c>
      <c r="H76" s="6" t="s">
        <v>700</v>
      </c>
      <c r="I76" s="6" t="s">
        <v>701</v>
      </c>
      <c r="J76" s="5" t="s">
        <v>702</v>
      </c>
      <c r="K76" s="5" t="s">
        <v>703</v>
      </c>
      <c r="L76" s="6" t="s">
        <v>704</v>
      </c>
      <c r="M76" s="6" t="s">
        <v>705</v>
      </c>
      <c r="N76" s="6" t="s">
        <v>706</v>
      </c>
      <c r="O76" s="5" t="s">
        <v>707</v>
      </c>
      <c r="P76" s="4" t="n">
        <v>12</v>
      </c>
      <c r="Q76" s="4" t="n">
        <v>10</v>
      </c>
      <c r="R76" s="4" t="n">
        <v>3</v>
      </c>
      <c r="S76" s="4" t="n">
        <v>4</v>
      </c>
      <c r="T76" s="4" t="n">
        <v>8</v>
      </c>
      <c r="U76" s="4" t="n">
        <v>4</v>
      </c>
      <c r="V76" s="4" t="n">
        <v>1</v>
      </c>
      <c r="W76" s="4" t="n">
        <v>0</v>
      </c>
      <c r="X76" s="4" t="n">
        <v>5</v>
      </c>
      <c r="Y76" s="4" t="n">
        <v>5</v>
      </c>
      <c r="Z76" s="4" t="n">
        <v>5</v>
      </c>
      <c r="AA76" s="7" t="n">
        <v>5</v>
      </c>
      <c r="AB76" s="7" t="n">
        <v>2</v>
      </c>
      <c r="AC76" s="4" t="n">
        <v>5</v>
      </c>
      <c r="AD76" s="8" t="n">
        <f aca="false">SUM(P76:AC76)</f>
        <v>69</v>
      </c>
      <c r="AE76" s="9" t="str">
        <f aca="false">IF(AD76&gt;=78,"Tier 1 Named",IF(AD76&gt;=68,"Tier 2 Priority",IF(AD76&gt;=58,"Tier 3 Volume",IF(AD76&gt;=45,"Nurture","Disqualify"))))</f>
        <v>Tier 2 Priority</v>
      </c>
      <c r="AF76" s="4" t="n">
        <v>2</v>
      </c>
      <c r="AG76" s="6" t="s">
        <v>708</v>
      </c>
    </row>
    <row r="77" customFormat="false" ht="91.5" hidden="false" customHeight="true" outlineLevel="0" collapsed="false">
      <c r="A77" s="4" t="n">
        <v>73</v>
      </c>
      <c r="B77" s="5" t="s">
        <v>709</v>
      </c>
      <c r="C77" s="5" t="s">
        <v>118</v>
      </c>
      <c r="D77" s="4" t="s">
        <v>212</v>
      </c>
      <c r="E77" s="5" t="s">
        <v>106</v>
      </c>
      <c r="F77" s="5" t="s">
        <v>87</v>
      </c>
      <c r="G77" s="5" t="s">
        <v>40</v>
      </c>
      <c r="H77" s="6" t="s">
        <v>710</v>
      </c>
      <c r="I77" s="6" t="s">
        <v>711</v>
      </c>
      <c r="J77" s="5" t="s">
        <v>712</v>
      </c>
      <c r="K77" s="5" t="s">
        <v>44</v>
      </c>
      <c r="L77" s="6" t="s">
        <v>713</v>
      </c>
      <c r="M77" s="6" t="s">
        <v>714</v>
      </c>
      <c r="N77" s="6" t="s">
        <v>715</v>
      </c>
      <c r="O77" s="5" t="s">
        <v>716</v>
      </c>
      <c r="P77" s="4" t="n">
        <v>12</v>
      </c>
      <c r="Q77" s="4" t="n">
        <v>8</v>
      </c>
      <c r="R77" s="4" t="n">
        <v>3</v>
      </c>
      <c r="S77" s="4" t="n">
        <v>7</v>
      </c>
      <c r="T77" s="4" t="n">
        <v>8</v>
      </c>
      <c r="U77" s="4" t="n">
        <v>4</v>
      </c>
      <c r="V77" s="4" t="n">
        <v>1</v>
      </c>
      <c r="W77" s="4" t="n">
        <v>2</v>
      </c>
      <c r="X77" s="4" t="n">
        <v>5</v>
      </c>
      <c r="Y77" s="4" t="n">
        <v>3</v>
      </c>
      <c r="Z77" s="4" t="n">
        <v>5</v>
      </c>
      <c r="AA77" s="7" t="n">
        <v>5</v>
      </c>
      <c r="AB77" s="7" t="n">
        <v>2</v>
      </c>
      <c r="AC77" s="4" t="n">
        <v>3</v>
      </c>
      <c r="AD77" s="8" t="n">
        <f aca="false">SUM(P77:AC77)</f>
        <v>68</v>
      </c>
      <c r="AE77" s="9" t="str">
        <f aca="false">IF(AD77&gt;=78,"Tier 1 Named",IF(AD77&gt;=68,"Tier 2 Priority",IF(AD77&gt;=58,"Tier 3 Volume",IF(AD77&gt;=45,"Nurture","Disqualify"))))</f>
        <v>Tier 2 Priority</v>
      </c>
      <c r="AF77" s="4" t="n">
        <v>2</v>
      </c>
      <c r="AG77" s="6" t="s">
        <v>717</v>
      </c>
    </row>
    <row r="78" customFormat="false" ht="91.5" hidden="false" customHeight="true" outlineLevel="0" collapsed="false">
      <c r="A78" s="4" t="n">
        <v>74</v>
      </c>
      <c r="B78" s="5" t="s">
        <v>718</v>
      </c>
      <c r="C78" s="5" t="s">
        <v>118</v>
      </c>
      <c r="D78" s="4" t="s">
        <v>361</v>
      </c>
      <c r="E78" s="5" t="s">
        <v>343</v>
      </c>
      <c r="F78" s="5" t="s">
        <v>286</v>
      </c>
      <c r="G78" s="5" t="s">
        <v>40</v>
      </c>
      <c r="H78" s="6" t="s">
        <v>719</v>
      </c>
      <c r="I78" s="6" t="s">
        <v>720</v>
      </c>
      <c r="J78" s="5" t="s">
        <v>721</v>
      </c>
      <c r="K78" s="5" t="s">
        <v>80</v>
      </c>
      <c r="L78" s="6" t="s">
        <v>722</v>
      </c>
      <c r="M78" s="6" t="s">
        <v>723</v>
      </c>
      <c r="N78" s="6" t="s">
        <v>724</v>
      </c>
      <c r="O78" s="5" t="s">
        <v>681</v>
      </c>
      <c r="P78" s="4" t="n">
        <v>12</v>
      </c>
      <c r="Q78" s="4" t="n">
        <v>5</v>
      </c>
      <c r="R78" s="4" t="n">
        <v>2</v>
      </c>
      <c r="S78" s="4" t="n">
        <v>8</v>
      </c>
      <c r="T78" s="4" t="n">
        <v>10</v>
      </c>
      <c r="U78" s="4" t="n">
        <v>4</v>
      </c>
      <c r="V78" s="4" t="n">
        <v>5</v>
      </c>
      <c r="W78" s="4" t="n">
        <v>2</v>
      </c>
      <c r="X78" s="4" t="n">
        <v>0</v>
      </c>
      <c r="Y78" s="4" t="n">
        <v>6</v>
      </c>
      <c r="Z78" s="4" t="n">
        <v>6</v>
      </c>
      <c r="AA78" s="7" t="n">
        <v>5</v>
      </c>
      <c r="AB78" s="7" t="n">
        <v>2</v>
      </c>
      <c r="AC78" s="4" t="n">
        <v>1</v>
      </c>
      <c r="AD78" s="8" t="n">
        <f aca="false">SUM(P78:AC78)</f>
        <v>68</v>
      </c>
      <c r="AE78" s="9" t="str">
        <f aca="false">IF(AD78&gt;=78,"Tier 1 Named",IF(AD78&gt;=68,"Tier 2 Priority",IF(AD78&gt;=58,"Tier 3 Volume",IF(AD78&gt;=45,"Nurture","Disqualify"))))</f>
        <v>Tier 2 Priority</v>
      </c>
      <c r="AF78" s="4" t="n">
        <v>2</v>
      </c>
      <c r="AG78" s="6"/>
    </row>
    <row r="79" customFormat="false" ht="91.5" hidden="false" customHeight="true" outlineLevel="0" collapsed="false">
      <c r="A79" s="4" t="n">
        <v>75</v>
      </c>
      <c r="B79" s="5" t="s">
        <v>725</v>
      </c>
      <c r="C79" s="5" t="s">
        <v>222</v>
      </c>
      <c r="D79" s="4" t="s">
        <v>37</v>
      </c>
      <c r="E79" s="5" t="s">
        <v>343</v>
      </c>
      <c r="F79" s="5" t="s">
        <v>683</v>
      </c>
      <c r="G79" s="5" t="s">
        <v>40</v>
      </c>
      <c r="H79" s="6" t="s">
        <v>726</v>
      </c>
      <c r="I79" s="6" t="s">
        <v>727</v>
      </c>
      <c r="J79" s="5" t="s">
        <v>728</v>
      </c>
      <c r="K79" s="5" t="s">
        <v>111</v>
      </c>
      <c r="L79" s="6" t="s">
        <v>729</v>
      </c>
      <c r="M79" s="6" t="s">
        <v>730</v>
      </c>
      <c r="N79" s="6" t="s">
        <v>731</v>
      </c>
      <c r="O79" s="5" t="s">
        <v>229</v>
      </c>
      <c r="P79" s="4" t="n">
        <v>12</v>
      </c>
      <c r="Q79" s="4" t="n">
        <v>5</v>
      </c>
      <c r="R79" s="4" t="n">
        <v>2</v>
      </c>
      <c r="S79" s="4" t="n">
        <v>7</v>
      </c>
      <c r="T79" s="4" t="n">
        <v>10</v>
      </c>
      <c r="U79" s="4" t="n">
        <v>4</v>
      </c>
      <c r="V79" s="4" t="n">
        <v>8</v>
      </c>
      <c r="W79" s="4" t="n">
        <v>4</v>
      </c>
      <c r="X79" s="4" t="n">
        <v>0</v>
      </c>
      <c r="Y79" s="4" t="n">
        <v>5</v>
      </c>
      <c r="Z79" s="4" t="n">
        <v>3</v>
      </c>
      <c r="AA79" s="7" t="n">
        <v>5</v>
      </c>
      <c r="AB79" s="7" t="n">
        <v>2</v>
      </c>
      <c r="AC79" s="4" t="n">
        <v>1</v>
      </c>
      <c r="AD79" s="8" t="n">
        <f aca="false">SUM(P79:AC79)</f>
        <v>68</v>
      </c>
      <c r="AE79" s="9" t="str">
        <f aca="false">IF(AD79&gt;=78,"Tier 1 Named",IF(AD79&gt;=68,"Tier 2 Priority",IF(AD79&gt;=58,"Tier 3 Volume",IF(AD79&gt;=45,"Nurture","Disqualify"))))</f>
        <v>Tier 2 Priority</v>
      </c>
      <c r="AF79" s="4" t="n">
        <v>3</v>
      </c>
      <c r="AG79" s="6" t="s">
        <v>732</v>
      </c>
    </row>
    <row r="80" customFormat="false" ht="91.5" hidden="false" customHeight="true" outlineLevel="0" collapsed="false">
      <c r="A80" s="4" t="n">
        <v>76</v>
      </c>
      <c r="B80" s="5" t="s">
        <v>733</v>
      </c>
      <c r="C80" s="5" t="s">
        <v>222</v>
      </c>
      <c r="D80" s="4" t="s">
        <v>249</v>
      </c>
      <c r="E80" s="5" t="s">
        <v>38</v>
      </c>
      <c r="F80" s="5" t="s">
        <v>130</v>
      </c>
      <c r="G80" s="5" t="s">
        <v>40</v>
      </c>
      <c r="H80" s="6" t="s">
        <v>734</v>
      </c>
      <c r="I80" s="6" t="s">
        <v>735</v>
      </c>
      <c r="J80" s="5" t="s">
        <v>736</v>
      </c>
      <c r="K80" s="5" t="s">
        <v>205</v>
      </c>
      <c r="L80" s="6" t="s">
        <v>737</v>
      </c>
      <c r="M80" s="6" t="s">
        <v>738</v>
      </c>
      <c r="N80" s="6" t="s">
        <v>739</v>
      </c>
      <c r="O80" s="5" t="s">
        <v>229</v>
      </c>
      <c r="P80" s="4" t="n">
        <v>12</v>
      </c>
      <c r="Q80" s="4" t="n">
        <v>10</v>
      </c>
      <c r="R80" s="4" t="n">
        <v>3</v>
      </c>
      <c r="S80" s="4" t="n">
        <v>4</v>
      </c>
      <c r="T80" s="4" t="n">
        <v>8</v>
      </c>
      <c r="U80" s="4" t="n">
        <v>2</v>
      </c>
      <c r="V80" s="4" t="n">
        <v>7</v>
      </c>
      <c r="W80" s="4" t="n">
        <v>2</v>
      </c>
      <c r="X80" s="4" t="n">
        <v>0</v>
      </c>
      <c r="Y80" s="4" t="n">
        <v>5</v>
      </c>
      <c r="Z80" s="4" t="n">
        <v>3</v>
      </c>
      <c r="AA80" s="7" t="n">
        <v>5</v>
      </c>
      <c r="AB80" s="7" t="n">
        <v>2</v>
      </c>
      <c r="AC80" s="4" t="n">
        <v>5</v>
      </c>
      <c r="AD80" s="8" t="n">
        <f aca="false">SUM(P80:AC80)</f>
        <v>68</v>
      </c>
      <c r="AE80" s="9" t="str">
        <f aca="false">IF(AD80&gt;=78,"Tier 1 Named",IF(AD80&gt;=68,"Tier 2 Priority",IF(AD80&gt;=58,"Tier 3 Volume",IF(AD80&gt;=45,"Nurture","Disqualify"))))</f>
        <v>Tier 2 Priority</v>
      </c>
      <c r="AF80" s="4" t="n">
        <v>2</v>
      </c>
      <c r="AG80" s="6" t="s">
        <v>740</v>
      </c>
    </row>
    <row r="81" customFormat="false" ht="91.5" hidden="false" customHeight="true" outlineLevel="0" collapsed="false">
      <c r="A81" s="4" t="n">
        <v>77</v>
      </c>
      <c r="B81" s="5" t="s">
        <v>741</v>
      </c>
      <c r="C81" s="5" t="s">
        <v>118</v>
      </c>
      <c r="D81" s="4" t="s">
        <v>389</v>
      </c>
      <c r="E81" s="5" t="s">
        <v>38</v>
      </c>
      <c r="F81" s="5" t="s">
        <v>742</v>
      </c>
      <c r="G81" s="5" t="s">
        <v>40</v>
      </c>
      <c r="H81" s="6" t="s">
        <v>743</v>
      </c>
      <c r="I81" s="6" t="s">
        <v>744</v>
      </c>
      <c r="J81" s="5" t="s">
        <v>745</v>
      </c>
      <c r="K81" s="5" t="s">
        <v>577</v>
      </c>
      <c r="L81" s="6" t="s">
        <v>746</v>
      </c>
      <c r="M81" s="6" t="s">
        <v>747</v>
      </c>
      <c r="N81" s="6" t="s">
        <v>748</v>
      </c>
      <c r="O81" s="5" t="s">
        <v>749</v>
      </c>
      <c r="P81" s="4" t="n">
        <v>12</v>
      </c>
      <c r="Q81" s="4" t="n">
        <v>10</v>
      </c>
      <c r="R81" s="4" t="n">
        <v>3</v>
      </c>
      <c r="S81" s="4" t="n">
        <v>4</v>
      </c>
      <c r="T81" s="4" t="n">
        <v>6</v>
      </c>
      <c r="U81" s="4" t="n">
        <v>4</v>
      </c>
      <c r="V81" s="4" t="n">
        <v>5</v>
      </c>
      <c r="W81" s="4" t="n">
        <v>2</v>
      </c>
      <c r="X81" s="4" t="n">
        <v>4</v>
      </c>
      <c r="Y81" s="4" t="n">
        <v>2</v>
      </c>
      <c r="Z81" s="4" t="n">
        <v>3</v>
      </c>
      <c r="AA81" s="7" t="n">
        <v>5</v>
      </c>
      <c r="AB81" s="7" t="n">
        <v>2</v>
      </c>
      <c r="AC81" s="4" t="n">
        <v>5</v>
      </c>
      <c r="AD81" s="8" t="n">
        <f aca="false">SUM(P81:AC81)</f>
        <v>67</v>
      </c>
      <c r="AE81" s="9" t="str">
        <f aca="false">IF(AD81&gt;=78,"Tier 1 Named",IF(AD81&gt;=68,"Tier 2 Priority",IF(AD81&gt;=58,"Tier 3 Volume",IF(AD81&gt;=45,"Nurture","Disqualify"))))</f>
        <v>Tier 3 Volume</v>
      </c>
      <c r="AF81" s="4" t="n">
        <v>3</v>
      </c>
      <c r="AG81" s="6" t="s">
        <v>750</v>
      </c>
    </row>
    <row r="82" customFormat="false" ht="91.5" hidden="false" customHeight="true" outlineLevel="0" collapsed="false">
      <c r="A82" s="4" t="n">
        <v>78</v>
      </c>
      <c r="B82" s="5" t="s">
        <v>751</v>
      </c>
      <c r="C82" s="5" t="s">
        <v>541</v>
      </c>
      <c r="D82" s="4" t="s">
        <v>200</v>
      </c>
      <c r="E82" s="5" t="s">
        <v>752</v>
      </c>
      <c r="F82" s="5" t="s">
        <v>640</v>
      </c>
      <c r="G82" s="5" t="s">
        <v>753</v>
      </c>
      <c r="H82" s="6" t="s">
        <v>754</v>
      </c>
      <c r="I82" s="6" t="s">
        <v>755</v>
      </c>
      <c r="J82" s="5" t="s">
        <v>756</v>
      </c>
      <c r="K82" s="5" t="s">
        <v>577</v>
      </c>
      <c r="L82" s="6" t="s">
        <v>757</v>
      </c>
      <c r="M82" s="6" t="s">
        <v>758</v>
      </c>
      <c r="N82" s="6" t="s">
        <v>759</v>
      </c>
      <c r="O82" s="5" t="s">
        <v>760</v>
      </c>
      <c r="P82" s="4" t="n">
        <v>12</v>
      </c>
      <c r="Q82" s="4" t="n">
        <v>8</v>
      </c>
      <c r="R82" s="4" t="n">
        <v>3</v>
      </c>
      <c r="S82" s="4" t="n">
        <v>5</v>
      </c>
      <c r="T82" s="4" t="n">
        <v>8</v>
      </c>
      <c r="U82" s="4" t="n">
        <v>6</v>
      </c>
      <c r="V82" s="4" t="n">
        <v>1</v>
      </c>
      <c r="W82" s="4" t="n">
        <v>4</v>
      </c>
      <c r="X82" s="4" t="n">
        <v>0</v>
      </c>
      <c r="Y82" s="4" t="n">
        <v>3</v>
      </c>
      <c r="Z82" s="4" t="n">
        <v>5</v>
      </c>
      <c r="AA82" s="7" t="n">
        <v>5</v>
      </c>
      <c r="AB82" s="7" t="n">
        <v>2</v>
      </c>
      <c r="AC82" s="4" t="n">
        <v>5</v>
      </c>
      <c r="AD82" s="8" t="n">
        <f aca="false">SUM(P82:AC82)</f>
        <v>67</v>
      </c>
      <c r="AE82" s="9" t="str">
        <f aca="false">IF(AD82&gt;=78,"Tier 1 Named",IF(AD82&gt;=68,"Tier 2 Priority",IF(AD82&gt;=58,"Tier 3 Volume",IF(AD82&gt;=45,"Nurture","Disqualify"))))</f>
        <v>Tier 3 Volume</v>
      </c>
      <c r="AF82" s="4" t="n">
        <v>2</v>
      </c>
      <c r="AG82" s="6" t="s">
        <v>761</v>
      </c>
    </row>
    <row r="83" customFormat="false" ht="91.5" hidden="false" customHeight="true" outlineLevel="0" collapsed="false">
      <c r="A83" s="4" t="n">
        <v>79</v>
      </c>
      <c r="B83" s="5" t="s">
        <v>762</v>
      </c>
      <c r="C83" s="5" t="s">
        <v>222</v>
      </c>
      <c r="D83" s="4" t="s">
        <v>249</v>
      </c>
      <c r="E83" s="5" t="s">
        <v>106</v>
      </c>
      <c r="F83" s="5" t="s">
        <v>63</v>
      </c>
      <c r="G83" s="5" t="s">
        <v>40</v>
      </c>
      <c r="H83" s="6" t="s">
        <v>763</v>
      </c>
      <c r="I83" s="6" t="s">
        <v>764</v>
      </c>
      <c r="J83" s="5" t="s">
        <v>585</v>
      </c>
      <c r="K83" s="5" t="s">
        <v>67</v>
      </c>
      <c r="L83" s="6" t="s">
        <v>226</v>
      </c>
      <c r="M83" s="6" t="s">
        <v>765</v>
      </c>
      <c r="N83" s="6" t="s">
        <v>766</v>
      </c>
      <c r="O83" s="5" t="s">
        <v>767</v>
      </c>
      <c r="P83" s="4" t="n">
        <v>12</v>
      </c>
      <c r="Q83" s="4" t="n">
        <v>8</v>
      </c>
      <c r="R83" s="4" t="n">
        <v>3</v>
      </c>
      <c r="S83" s="4" t="n">
        <v>5</v>
      </c>
      <c r="T83" s="4" t="n">
        <v>8</v>
      </c>
      <c r="U83" s="4" t="n">
        <v>2</v>
      </c>
      <c r="V83" s="4" t="n">
        <v>8</v>
      </c>
      <c r="W83" s="4" t="n">
        <v>2</v>
      </c>
      <c r="X83" s="4" t="n">
        <v>0</v>
      </c>
      <c r="Y83" s="4" t="n">
        <v>5</v>
      </c>
      <c r="Z83" s="4" t="n">
        <v>3</v>
      </c>
      <c r="AA83" s="7" t="n">
        <v>5</v>
      </c>
      <c r="AB83" s="7" t="n">
        <v>2</v>
      </c>
      <c r="AC83" s="4" t="n">
        <v>3</v>
      </c>
      <c r="AD83" s="8" t="n">
        <f aca="false">SUM(P83:AC83)</f>
        <v>66</v>
      </c>
      <c r="AE83" s="9" t="str">
        <f aca="false">IF(AD83&gt;=78,"Tier 1 Named",IF(AD83&gt;=68,"Tier 2 Priority",IF(AD83&gt;=58,"Tier 3 Volume",IF(AD83&gt;=45,"Nurture","Disqualify"))))</f>
        <v>Tier 3 Volume</v>
      </c>
      <c r="AF83" s="4" t="n">
        <v>2</v>
      </c>
      <c r="AG83" s="6"/>
    </row>
    <row r="84" customFormat="false" ht="91.5" hidden="false" customHeight="true" outlineLevel="0" collapsed="false">
      <c r="A84" s="4" t="n">
        <v>80</v>
      </c>
      <c r="B84" s="5" t="s">
        <v>768</v>
      </c>
      <c r="C84" s="5" t="s">
        <v>118</v>
      </c>
      <c r="D84" s="4" t="s">
        <v>389</v>
      </c>
      <c r="E84" s="5" t="s">
        <v>38</v>
      </c>
      <c r="F84" s="5" t="s">
        <v>130</v>
      </c>
      <c r="G84" s="5" t="s">
        <v>40</v>
      </c>
      <c r="H84" s="6" t="s">
        <v>769</v>
      </c>
      <c r="I84" s="6" t="s">
        <v>770</v>
      </c>
      <c r="J84" s="5" t="s">
        <v>771</v>
      </c>
      <c r="K84" s="5" t="s">
        <v>205</v>
      </c>
      <c r="L84" s="6" t="s">
        <v>393</v>
      </c>
      <c r="M84" s="6" t="s">
        <v>772</v>
      </c>
      <c r="N84" s="6" t="s">
        <v>773</v>
      </c>
      <c r="O84" s="5" t="s">
        <v>647</v>
      </c>
      <c r="P84" s="4" t="n">
        <v>12</v>
      </c>
      <c r="Q84" s="4" t="n">
        <v>10</v>
      </c>
      <c r="R84" s="4" t="n">
        <v>3</v>
      </c>
      <c r="S84" s="4" t="n">
        <v>4</v>
      </c>
      <c r="T84" s="4" t="n">
        <v>8</v>
      </c>
      <c r="U84" s="4" t="n">
        <v>2</v>
      </c>
      <c r="V84" s="4" t="n">
        <v>1</v>
      </c>
      <c r="W84" s="4" t="n">
        <v>0</v>
      </c>
      <c r="X84" s="4" t="n">
        <v>4</v>
      </c>
      <c r="Y84" s="4" t="n">
        <v>6</v>
      </c>
      <c r="Z84" s="4" t="n">
        <v>3</v>
      </c>
      <c r="AA84" s="7" t="n">
        <v>5</v>
      </c>
      <c r="AB84" s="7" t="n">
        <v>2</v>
      </c>
      <c r="AC84" s="4" t="n">
        <v>5</v>
      </c>
      <c r="AD84" s="8" t="n">
        <f aca="false">SUM(P84:AC84)</f>
        <v>65</v>
      </c>
      <c r="AE84" s="9" t="str">
        <f aca="false">IF(AD84&gt;=78,"Tier 1 Named",IF(AD84&gt;=68,"Tier 2 Priority",IF(AD84&gt;=58,"Tier 3 Volume",IF(AD84&gt;=45,"Nurture","Disqualify"))))</f>
        <v>Tier 3 Volume</v>
      </c>
      <c r="AF84" s="4" t="n">
        <v>3</v>
      </c>
      <c r="AG84" s="6" t="s">
        <v>774</v>
      </c>
    </row>
    <row r="85" customFormat="false" ht="91.5" hidden="false" customHeight="true" outlineLevel="0" collapsed="false">
      <c r="A85" s="4" t="n">
        <v>81</v>
      </c>
      <c r="B85" s="5" t="s">
        <v>775</v>
      </c>
      <c r="C85" s="5" t="s">
        <v>776</v>
      </c>
      <c r="D85" s="4" t="s">
        <v>200</v>
      </c>
      <c r="E85" s="5" t="s">
        <v>190</v>
      </c>
      <c r="F85" s="5" t="s">
        <v>777</v>
      </c>
      <c r="G85" s="5" t="s">
        <v>40</v>
      </c>
      <c r="H85" s="6" t="s">
        <v>778</v>
      </c>
      <c r="I85" s="6" t="s">
        <v>779</v>
      </c>
      <c r="J85" s="5" t="s">
        <v>780</v>
      </c>
      <c r="K85" s="5" t="s">
        <v>205</v>
      </c>
      <c r="L85" s="6" t="s">
        <v>605</v>
      </c>
      <c r="M85" s="6" t="s">
        <v>781</v>
      </c>
      <c r="N85" s="6" t="s">
        <v>782</v>
      </c>
      <c r="O85" s="5" t="s">
        <v>608</v>
      </c>
      <c r="P85" s="4" t="n">
        <v>12</v>
      </c>
      <c r="Q85" s="4" t="n">
        <v>9</v>
      </c>
      <c r="R85" s="4" t="n">
        <v>3</v>
      </c>
      <c r="S85" s="4" t="n">
        <v>5</v>
      </c>
      <c r="T85" s="4" t="n">
        <v>8</v>
      </c>
      <c r="U85" s="4" t="n">
        <v>4</v>
      </c>
      <c r="V85" s="4" t="n">
        <v>1</v>
      </c>
      <c r="W85" s="4" t="n">
        <v>0</v>
      </c>
      <c r="X85" s="4" t="n">
        <v>4</v>
      </c>
      <c r="Y85" s="4" t="n">
        <v>2</v>
      </c>
      <c r="Z85" s="4" t="n">
        <v>5</v>
      </c>
      <c r="AA85" s="7" t="n">
        <v>5</v>
      </c>
      <c r="AB85" s="7" t="n">
        <v>2</v>
      </c>
      <c r="AC85" s="4" t="n">
        <v>5</v>
      </c>
      <c r="AD85" s="8" t="n">
        <f aca="false">SUM(P85:AC85)</f>
        <v>65</v>
      </c>
      <c r="AE85" s="9" t="str">
        <f aca="false">IF(AD85&gt;=78,"Tier 1 Named",IF(AD85&gt;=68,"Tier 2 Priority",IF(AD85&gt;=58,"Tier 3 Volume",IF(AD85&gt;=45,"Nurture","Disqualify"))))</f>
        <v>Tier 3 Volume</v>
      </c>
      <c r="AF85" s="4" t="n">
        <v>2</v>
      </c>
      <c r="AG85" s="6" t="s">
        <v>783</v>
      </c>
    </row>
    <row r="86" customFormat="false" ht="91.5" hidden="false" customHeight="true" outlineLevel="0" collapsed="false">
      <c r="A86" s="4" t="n">
        <v>82</v>
      </c>
      <c r="B86" s="5" t="s">
        <v>784</v>
      </c>
      <c r="C86" s="5" t="s">
        <v>51</v>
      </c>
      <c r="D86" s="4" t="s">
        <v>249</v>
      </c>
      <c r="E86" s="5" t="s">
        <v>752</v>
      </c>
      <c r="F86" s="5" t="s">
        <v>140</v>
      </c>
      <c r="G86" s="5" t="s">
        <v>423</v>
      </c>
      <c r="H86" s="6" t="s">
        <v>785</v>
      </c>
      <c r="I86" s="6" t="s">
        <v>786</v>
      </c>
      <c r="J86" s="5" t="s">
        <v>787</v>
      </c>
      <c r="K86" s="5" t="s">
        <v>788</v>
      </c>
      <c r="L86" s="6" t="s">
        <v>789</v>
      </c>
      <c r="M86" s="6" t="s">
        <v>790</v>
      </c>
      <c r="N86" s="6" t="s">
        <v>791</v>
      </c>
      <c r="O86" s="5" t="s">
        <v>256</v>
      </c>
      <c r="P86" s="4" t="n">
        <v>12</v>
      </c>
      <c r="Q86" s="4" t="n">
        <v>8</v>
      </c>
      <c r="R86" s="4" t="n">
        <v>3</v>
      </c>
      <c r="S86" s="4" t="n">
        <v>4</v>
      </c>
      <c r="T86" s="4" t="n">
        <v>6</v>
      </c>
      <c r="U86" s="4" t="n">
        <v>4</v>
      </c>
      <c r="V86" s="4" t="n">
        <v>5</v>
      </c>
      <c r="W86" s="4" t="n">
        <v>2</v>
      </c>
      <c r="X86" s="4" t="n">
        <v>0</v>
      </c>
      <c r="Y86" s="4" t="n">
        <v>3</v>
      </c>
      <c r="Z86" s="4" t="n">
        <v>5</v>
      </c>
      <c r="AA86" s="7" t="n">
        <v>5</v>
      </c>
      <c r="AB86" s="7" t="n">
        <v>2</v>
      </c>
      <c r="AC86" s="4" t="n">
        <v>5</v>
      </c>
      <c r="AD86" s="8" t="n">
        <f aca="false">SUM(P86:AC86)</f>
        <v>64</v>
      </c>
      <c r="AE86" s="9" t="str">
        <f aca="false">IF(AD86&gt;=78,"Tier 1 Named",IF(AD86&gt;=68,"Tier 2 Priority",IF(AD86&gt;=58,"Tier 3 Volume",IF(AD86&gt;=45,"Nurture","Disqualify"))))</f>
        <v>Tier 3 Volume</v>
      </c>
      <c r="AF86" s="4" t="n">
        <v>3</v>
      </c>
      <c r="AG86" s="6" t="s">
        <v>792</v>
      </c>
    </row>
    <row r="87" customFormat="false" ht="91.5" hidden="false" customHeight="true" outlineLevel="0" collapsed="false">
      <c r="A87" s="4" t="n">
        <v>83</v>
      </c>
      <c r="B87" s="5" t="s">
        <v>793</v>
      </c>
      <c r="C87" s="5" t="s">
        <v>51</v>
      </c>
      <c r="D87" s="4" t="s">
        <v>200</v>
      </c>
      <c r="E87" s="5" t="s">
        <v>752</v>
      </c>
      <c r="F87" s="5" t="s">
        <v>140</v>
      </c>
      <c r="G87" s="5" t="s">
        <v>423</v>
      </c>
      <c r="H87" s="6" t="s">
        <v>794</v>
      </c>
      <c r="I87" s="6" t="s">
        <v>795</v>
      </c>
      <c r="J87" s="5" t="s">
        <v>796</v>
      </c>
      <c r="K87" s="5" t="s">
        <v>788</v>
      </c>
      <c r="L87" s="6" t="s">
        <v>797</v>
      </c>
      <c r="M87" s="6" t="s">
        <v>798</v>
      </c>
      <c r="N87" s="6" t="s">
        <v>799</v>
      </c>
      <c r="O87" s="5" t="s">
        <v>256</v>
      </c>
      <c r="P87" s="4" t="n">
        <v>12</v>
      </c>
      <c r="Q87" s="4" t="n">
        <v>8</v>
      </c>
      <c r="R87" s="4" t="n">
        <v>3</v>
      </c>
      <c r="S87" s="4" t="n">
        <v>5</v>
      </c>
      <c r="T87" s="4" t="n">
        <v>8</v>
      </c>
      <c r="U87" s="4" t="n">
        <v>4</v>
      </c>
      <c r="V87" s="4" t="n">
        <v>1</v>
      </c>
      <c r="W87" s="4" t="n">
        <v>2</v>
      </c>
      <c r="X87" s="4" t="n">
        <v>0</v>
      </c>
      <c r="Y87" s="4" t="n">
        <v>3</v>
      </c>
      <c r="Z87" s="4" t="n">
        <v>6</v>
      </c>
      <c r="AA87" s="7" t="n">
        <v>5</v>
      </c>
      <c r="AB87" s="7" t="n">
        <v>2</v>
      </c>
      <c r="AC87" s="4" t="n">
        <v>5</v>
      </c>
      <c r="AD87" s="8" t="n">
        <f aca="false">SUM(P87:AC87)</f>
        <v>64</v>
      </c>
      <c r="AE87" s="9" t="str">
        <f aca="false">IF(AD87&gt;=78,"Tier 1 Named",IF(AD87&gt;=68,"Tier 2 Priority",IF(AD87&gt;=58,"Tier 3 Volume",IF(AD87&gt;=45,"Nurture","Disqualify"))))</f>
        <v>Tier 3 Volume</v>
      </c>
      <c r="AF87" s="4" t="n">
        <v>3</v>
      </c>
      <c r="AG87" s="6" t="s">
        <v>800</v>
      </c>
    </row>
    <row r="88" customFormat="false" ht="91.5" hidden="false" customHeight="true" outlineLevel="0" collapsed="false">
      <c r="A88" s="4" t="n">
        <v>84</v>
      </c>
      <c r="B88" s="5" t="s">
        <v>801</v>
      </c>
      <c r="C88" s="5" t="s">
        <v>188</v>
      </c>
      <c r="D88" s="4" t="s">
        <v>323</v>
      </c>
      <c r="E88" s="5" t="s">
        <v>190</v>
      </c>
      <c r="F88" s="5" t="s">
        <v>286</v>
      </c>
      <c r="G88" s="5" t="s">
        <v>40</v>
      </c>
      <c r="H88" s="6" t="s">
        <v>802</v>
      </c>
      <c r="I88" s="6" t="s">
        <v>803</v>
      </c>
      <c r="J88" s="5" t="s">
        <v>804</v>
      </c>
      <c r="K88" s="5" t="s">
        <v>205</v>
      </c>
      <c r="L88" s="6" t="s">
        <v>805</v>
      </c>
      <c r="M88" s="6" t="s">
        <v>806</v>
      </c>
      <c r="N88" s="6" t="s">
        <v>807</v>
      </c>
      <c r="O88" s="5" t="s">
        <v>320</v>
      </c>
      <c r="P88" s="4" t="n">
        <v>12</v>
      </c>
      <c r="Q88" s="4" t="n">
        <v>9</v>
      </c>
      <c r="R88" s="4" t="n">
        <v>3</v>
      </c>
      <c r="S88" s="4" t="n">
        <v>4</v>
      </c>
      <c r="T88" s="4" t="n">
        <v>8</v>
      </c>
      <c r="U88" s="4" t="n">
        <v>4</v>
      </c>
      <c r="V88" s="4" t="n">
        <v>1</v>
      </c>
      <c r="W88" s="4" t="n">
        <v>0</v>
      </c>
      <c r="X88" s="4" t="n">
        <v>5</v>
      </c>
      <c r="Y88" s="4" t="n">
        <v>2</v>
      </c>
      <c r="Z88" s="4" t="n">
        <v>3</v>
      </c>
      <c r="AA88" s="7" t="n">
        <v>5</v>
      </c>
      <c r="AB88" s="7" t="n">
        <v>2</v>
      </c>
      <c r="AC88" s="4" t="n">
        <v>5</v>
      </c>
      <c r="AD88" s="8" t="n">
        <f aca="false">SUM(P88:AC88)</f>
        <v>63</v>
      </c>
      <c r="AE88" s="9" t="str">
        <f aca="false">IF(AD88&gt;=78,"Tier 1 Named",IF(AD88&gt;=68,"Tier 2 Priority",IF(AD88&gt;=58,"Tier 3 Volume",IF(AD88&gt;=45,"Nurture","Disqualify"))))</f>
        <v>Tier 3 Volume</v>
      </c>
      <c r="AF88" s="4" t="n">
        <v>2</v>
      </c>
      <c r="AG88" s="6" t="s">
        <v>808</v>
      </c>
    </row>
    <row r="89" customFormat="false" ht="91.5" hidden="false" customHeight="true" outlineLevel="0" collapsed="false">
      <c r="A89" s="4" t="n">
        <v>85</v>
      </c>
      <c r="B89" s="5" t="s">
        <v>809</v>
      </c>
      <c r="C89" s="5" t="s">
        <v>118</v>
      </c>
      <c r="D89" s="4" t="s">
        <v>389</v>
      </c>
      <c r="E89" s="5" t="s">
        <v>38</v>
      </c>
      <c r="F89" s="5" t="s">
        <v>324</v>
      </c>
      <c r="G89" s="5" t="s">
        <v>40</v>
      </c>
      <c r="H89" s="6" t="s">
        <v>810</v>
      </c>
      <c r="I89" s="6" t="s">
        <v>811</v>
      </c>
      <c r="J89" s="5" t="s">
        <v>812</v>
      </c>
      <c r="K89" s="5" t="s">
        <v>577</v>
      </c>
      <c r="L89" s="6" t="s">
        <v>813</v>
      </c>
      <c r="M89" s="6" t="s">
        <v>814</v>
      </c>
      <c r="N89" s="6" t="s">
        <v>815</v>
      </c>
      <c r="O89" s="5" t="s">
        <v>716</v>
      </c>
      <c r="P89" s="4" t="n">
        <v>12</v>
      </c>
      <c r="Q89" s="4" t="n">
        <v>10</v>
      </c>
      <c r="R89" s="4" t="n">
        <v>4</v>
      </c>
      <c r="S89" s="4" t="n">
        <v>4</v>
      </c>
      <c r="T89" s="4" t="n">
        <v>8</v>
      </c>
      <c r="U89" s="4" t="n">
        <v>2</v>
      </c>
      <c r="V89" s="4" t="n">
        <v>1</v>
      </c>
      <c r="W89" s="4" t="n">
        <v>0</v>
      </c>
      <c r="X89" s="4" t="n">
        <v>5</v>
      </c>
      <c r="Y89" s="4" t="n">
        <v>2</v>
      </c>
      <c r="Z89" s="4" t="n">
        <v>3</v>
      </c>
      <c r="AA89" s="7" t="n">
        <v>5</v>
      </c>
      <c r="AB89" s="7" t="n">
        <v>2</v>
      </c>
      <c r="AC89" s="4" t="n">
        <v>5</v>
      </c>
      <c r="AD89" s="8" t="n">
        <f aca="false">SUM(P89:AC89)</f>
        <v>63</v>
      </c>
      <c r="AE89" s="9" t="str">
        <f aca="false">IF(AD89&gt;=78,"Tier 1 Named",IF(AD89&gt;=68,"Tier 2 Priority",IF(AD89&gt;=58,"Tier 3 Volume",IF(AD89&gt;=45,"Nurture","Disqualify"))))</f>
        <v>Tier 3 Volume</v>
      </c>
      <c r="AF89" s="4" t="n">
        <v>3</v>
      </c>
      <c r="AG89" s="6" t="s">
        <v>816</v>
      </c>
    </row>
    <row r="90" customFormat="false" ht="91.5" hidden="false" customHeight="true" outlineLevel="0" collapsed="false">
      <c r="A90" s="4" t="n">
        <v>86</v>
      </c>
      <c r="B90" s="5" t="s">
        <v>817</v>
      </c>
      <c r="C90" s="5" t="s">
        <v>51</v>
      </c>
      <c r="D90" s="4" t="s">
        <v>200</v>
      </c>
      <c r="E90" s="5" t="s">
        <v>752</v>
      </c>
      <c r="F90" s="5" t="s">
        <v>39</v>
      </c>
      <c r="G90" s="5" t="s">
        <v>433</v>
      </c>
      <c r="H90" s="6" t="s">
        <v>818</v>
      </c>
      <c r="I90" s="6" t="s">
        <v>819</v>
      </c>
      <c r="J90" s="5" t="s">
        <v>820</v>
      </c>
      <c r="K90" s="5" t="s">
        <v>788</v>
      </c>
      <c r="L90" s="6" t="s">
        <v>797</v>
      </c>
      <c r="M90" s="6" t="s">
        <v>821</v>
      </c>
      <c r="N90" s="6" t="s">
        <v>822</v>
      </c>
      <c r="O90" s="5" t="s">
        <v>59</v>
      </c>
      <c r="P90" s="4" t="n">
        <v>12</v>
      </c>
      <c r="Q90" s="4" t="n">
        <v>8</v>
      </c>
      <c r="R90" s="4" t="n">
        <v>3</v>
      </c>
      <c r="S90" s="4" t="n">
        <v>5</v>
      </c>
      <c r="T90" s="4" t="n">
        <v>8</v>
      </c>
      <c r="U90" s="4" t="n">
        <v>4</v>
      </c>
      <c r="V90" s="4" t="n">
        <v>1</v>
      </c>
      <c r="W90" s="4" t="n">
        <v>2</v>
      </c>
      <c r="X90" s="4" t="n">
        <v>0</v>
      </c>
      <c r="Y90" s="4" t="n">
        <v>3</v>
      </c>
      <c r="Z90" s="4" t="n">
        <v>5</v>
      </c>
      <c r="AA90" s="7" t="n">
        <v>5</v>
      </c>
      <c r="AB90" s="7" t="n">
        <v>2</v>
      </c>
      <c r="AC90" s="4" t="n">
        <v>5</v>
      </c>
      <c r="AD90" s="8" t="n">
        <f aca="false">SUM(P90:AC90)</f>
        <v>63</v>
      </c>
      <c r="AE90" s="9" t="str">
        <f aca="false">IF(AD90&gt;=78,"Tier 1 Named",IF(AD90&gt;=68,"Tier 2 Priority",IF(AD90&gt;=58,"Tier 3 Volume",IF(AD90&gt;=45,"Nurture","Disqualify"))))</f>
        <v>Tier 3 Volume</v>
      </c>
      <c r="AF90" s="4" t="n">
        <v>3</v>
      </c>
      <c r="AG90" s="6" t="s">
        <v>823</v>
      </c>
    </row>
    <row r="91" customFormat="false" ht="91.5" hidden="false" customHeight="true" outlineLevel="0" collapsed="false">
      <c r="A91" s="4" t="n">
        <v>87</v>
      </c>
      <c r="B91" s="5" t="s">
        <v>824</v>
      </c>
      <c r="C91" s="5" t="s">
        <v>51</v>
      </c>
      <c r="D91" s="4" t="s">
        <v>693</v>
      </c>
      <c r="E91" s="5" t="s">
        <v>752</v>
      </c>
      <c r="F91" s="5" t="s">
        <v>39</v>
      </c>
      <c r="G91" s="5" t="s">
        <v>40</v>
      </c>
      <c r="H91" s="6" t="s">
        <v>825</v>
      </c>
      <c r="I91" s="6" t="s">
        <v>826</v>
      </c>
      <c r="J91" s="5" t="s">
        <v>827</v>
      </c>
      <c r="K91" s="5" t="s">
        <v>788</v>
      </c>
      <c r="L91" s="6" t="s">
        <v>797</v>
      </c>
      <c r="M91" s="6" t="s">
        <v>828</v>
      </c>
      <c r="N91" s="6" t="s">
        <v>829</v>
      </c>
      <c r="O91" s="5" t="s">
        <v>256</v>
      </c>
      <c r="P91" s="4" t="n">
        <v>12</v>
      </c>
      <c r="Q91" s="4" t="n">
        <v>8</v>
      </c>
      <c r="R91" s="4" t="n">
        <v>3</v>
      </c>
      <c r="S91" s="4" t="n">
        <v>4</v>
      </c>
      <c r="T91" s="4" t="n">
        <v>6</v>
      </c>
      <c r="U91" s="4" t="n">
        <v>4</v>
      </c>
      <c r="V91" s="4" t="n">
        <v>1</v>
      </c>
      <c r="W91" s="4" t="n">
        <v>4</v>
      </c>
      <c r="X91" s="4" t="n">
        <v>0</v>
      </c>
      <c r="Y91" s="4" t="n">
        <v>3</v>
      </c>
      <c r="Z91" s="4" t="n">
        <v>5</v>
      </c>
      <c r="AA91" s="7" t="n">
        <v>5</v>
      </c>
      <c r="AB91" s="7" t="n">
        <v>2</v>
      </c>
      <c r="AC91" s="4" t="n">
        <v>5</v>
      </c>
      <c r="AD91" s="8" t="n">
        <f aca="false">SUM(P91:AC91)</f>
        <v>62</v>
      </c>
      <c r="AE91" s="9" t="str">
        <f aca="false">IF(AD91&gt;=78,"Tier 1 Named",IF(AD91&gt;=68,"Tier 2 Priority",IF(AD91&gt;=58,"Tier 3 Volume",IF(AD91&gt;=45,"Nurture","Disqualify"))))</f>
        <v>Tier 3 Volume</v>
      </c>
      <c r="AF91" s="4" t="n">
        <v>3</v>
      </c>
      <c r="AG91" s="6" t="s">
        <v>830</v>
      </c>
    </row>
    <row r="92" customFormat="false" ht="91.5" hidden="false" customHeight="true" outlineLevel="0" collapsed="false">
      <c r="A92" s="4" t="n">
        <v>88</v>
      </c>
      <c r="B92" s="5" t="s">
        <v>831</v>
      </c>
      <c r="C92" s="5" t="s">
        <v>36</v>
      </c>
      <c r="D92" s="4" t="s">
        <v>200</v>
      </c>
      <c r="E92" s="5" t="s">
        <v>752</v>
      </c>
      <c r="F92" s="5" t="s">
        <v>39</v>
      </c>
      <c r="G92" s="5" t="s">
        <v>260</v>
      </c>
      <c r="H92" s="6" t="s">
        <v>832</v>
      </c>
      <c r="I92" s="6" t="s">
        <v>833</v>
      </c>
      <c r="J92" s="5" t="s">
        <v>834</v>
      </c>
      <c r="K92" s="5" t="s">
        <v>835</v>
      </c>
      <c r="L92" s="6" t="s">
        <v>836</v>
      </c>
      <c r="M92" s="6" t="s">
        <v>837</v>
      </c>
      <c r="N92" s="6" t="s">
        <v>838</v>
      </c>
      <c r="O92" s="5" t="s">
        <v>293</v>
      </c>
      <c r="P92" s="4" t="n">
        <v>12</v>
      </c>
      <c r="Q92" s="4" t="n">
        <v>8</v>
      </c>
      <c r="R92" s="4" t="n">
        <v>3</v>
      </c>
      <c r="S92" s="4" t="n">
        <v>4</v>
      </c>
      <c r="T92" s="4" t="n">
        <v>6</v>
      </c>
      <c r="U92" s="4" t="n">
        <v>4</v>
      </c>
      <c r="V92" s="4" t="n">
        <v>1</v>
      </c>
      <c r="W92" s="4" t="n">
        <v>2</v>
      </c>
      <c r="X92" s="4" t="n">
        <v>0</v>
      </c>
      <c r="Y92" s="4" t="n">
        <v>5</v>
      </c>
      <c r="Z92" s="4" t="n">
        <v>5</v>
      </c>
      <c r="AA92" s="7" t="n">
        <v>5</v>
      </c>
      <c r="AB92" s="7" t="n">
        <v>2</v>
      </c>
      <c r="AC92" s="4" t="n">
        <v>5</v>
      </c>
      <c r="AD92" s="8" t="n">
        <f aca="false">SUM(P92:AC92)</f>
        <v>62</v>
      </c>
      <c r="AE92" s="9" t="str">
        <f aca="false">IF(AD92&gt;=78,"Tier 1 Named",IF(AD92&gt;=68,"Tier 2 Priority",IF(AD92&gt;=58,"Tier 3 Volume",IF(AD92&gt;=45,"Nurture","Disqualify"))))</f>
        <v>Tier 3 Volume</v>
      </c>
      <c r="AF92" s="4" t="n">
        <v>3</v>
      </c>
      <c r="AG92" s="6" t="s">
        <v>839</v>
      </c>
    </row>
    <row r="93" customFormat="false" ht="91.5" hidden="false" customHeight="true" outlineLevel="0" collapsed="false">
      <c r="A93" s="4" t="n">
        <v>89</v>
      </c>
      <c r="B93" s="5" t="s">
        <v>840</v>
      </c>
      <c r="C93" s="5" t="s">
        <v>776</v>
      </c>
      <c r="D93" s="4" t="s">
        <v>200</v>
      </c>
      <c r="E93" s="5" t="s">
        <v>190</v>
      </c>
      <c r="F93" s="5" t="s">
        <v>39</v>
      </c>
      <c r="G93" s="5" t="s">
        <v>40</v>
      </c>
      <c r="H93" s="6" t="s">
        <v>841</v>
      </c>
      <c r="I93" s="6" t="s">
        <v>842</v>
      </c>
      <c r="J93" s="5" t="s">
        <v>843</v>
      </c>
      <c r="K93" s="5" t="s">
        <v>577</v>
      </c>
      <c r="L93" s="6" t="s">
        <v>605</v>
      </c>
      <c r="M93" s="6" t="s">
        <v>844</v>
      </c>
      <c r="N93" s="6" t="s">
        <v>845</v>
      </c>
      <c r="O93" s="5" t="s">
        <v>608</v>
      </c>
      <c r="P93" s="4" t="n">
        <v>12</v>
      </c>
      <c r="Q93" s="4" t="n">
        <v>9</v>
      </c>
      <c r="R93" s="4" t="n">
        <v>3</v>
      </c>
      <c r="S93" s="4" t="n">
        <v>4</v>
      </c>
      <c r="T93" s="4" t="n">
        <v>6</v>
      </c>
      <c r="U93" s="4" t="n">
        <v>4</v>
      </c>
      <c r="V93" s="4" t="n">
        <v>1</v>
      </c>
      <c r="W93" s="4" t="n">
        <v>0</v>
      </c>
      <c r="X93" s="4" t="n">
        <v>4</v>
      </c>
      <c r="Y93" s="4" t="n">
        <v>2</v>
      </c>
      <c r="Z93" s="4" t="n">
        <v>5</v>
      </c>
      <c r="AA93" s="7" t="n">
        <v>5</v>
      </c>
      <c r="AB93" s="7" t="n">
        <v>2</v>
      </c>
      <c r="AC93" s="4" t="n">
        <v>5</v>
      </c>
      <c r="AD93" s="8" t="n">
        <f aca="false">SUM(P93:AC93)</f>
        <v>62</v>
      </c>
      <c r="AE93" s="9" t="str">
        <f aca="false">IF(AD93&gt;=78,"Tier 1 Named",IF(AD93&gt;=68,"Tier 2 Priority",IF(AD93&gt;=58,"Tier 3 Volume",IF(AD93&gt;=45,"Nurture","Disqualify"))))</f>
        <v>Tier 3 Volume</v>
      </c>
      <c r="AF93" s="4" t="n">
        <v>3</v>
      </c>
      <c r="AG93" s="6" t="s">
        <v>846</v>
      </c>
    </row>
    <row r="94" customFormat="false" ht="91.5" hidden="false" customHeight="true" outlineLevel="0" collapsed="false">
      <c r="A94" s="4" t="n">
        <v>90</v>
      </c>
      <c r="B94" s="5" t="s">
        <v>847</v>
      </c>
      <c r="C94" s="5" t="s">
        <v>296</v>
      </c>
      <c r="D94" s="4" t="s">
        <v>249</v>
      </c>
      <c r="E94" s="5" t="s">
        <v>752</v>
      </c>
      <c r="F94" s="5" t="s">
        <v>848</v>
      </c>
      <c r="G94" s="5" t="s">
        <v>40</v>
      </c>
      <c r="H94" s="6" t="s">
        <v>849</v>
      </c>
      <c r="I94" s="6" t="s">
        <v>850</v>
      </c>
      <c r="J94" s="5" t="s">
        <v>851</v>
      </c>
      <c r="K94" s="5" t="s">
        <v>788</v>
      </c>
      <c r="L94" s="6" t="s">
        <v>184</v>
      </c>
      <c r="M94" s="6" t="s">
        <v>852</v>
      </c>
      <c r="N94" s="6" t="s">
        <v>853</v>
      </c>
      <c r="O94" s="5" t="s">
        <v>854</v>
      </c>
      <c r="P94" s="4" t="n">
        <v>12</v>
      </c>
      <c r="Q94" s="4" t="n">
        <v>8</v>
      </c>
      <c r="R94" s="4" t="n">
        <v>3</v>
      </c>
      <c r="S94" s="4" t="n">
        <v>2</v>
      </c>
      <c r="T94" s="4" t="n">
        <v>6</v>
      </c>
      <c r="U94" s="4" t="n">
        <v>2</v>
      </c>
      <c r="V94" s="4" t="n">
        <v>3</v>
      </c>
      <c r="W94" s="4" t="n">
        <v>2</v>
      </c>
      <c r="X94" s="4" t="n">
        <v>4</v>
      </c>
      <c r="Y94" s="4" t="n">
        <v>5</v>
      </c>
      <c r="Z94" s="4" t="n">
        <v>3</v>
      </c>
      <c r="AA94" s="7" t="n">
        <v>5</v>
      </c>
      <c r="AB94" s="7" t="n">
        <v>2</v>
      </c>
      <c r="AC94" s="4" t="n">
        <v>5</v>
      </c>
      <c r="AD94" s="8" t="n">
        <f aca="false">SUM(P94:AC94)</f>
        <v>62</v>
      </c>
      <c r="AE94" s="9" t="str">
        <f aca="false">IF(AD94&gt;=78,"Tier 1 Named",IF(AD94&gt;=68,"Tier 2 Priority",IF(AD94&gt;=58,"Tier 3 Volume",IF(AD94&gt;=45,"Nurture","Disqualify"))))</f>
        <v>Tier 3 Volume</v>
      </c>
      <c r="AF94" s="4" t="n">
        <v>3</v>
      </c>
      <c r="AG94" s="6" t="s">
        <v>855</v>
      </c>
    </row>
    <row r="95" customFormat="false" ht="91.5" hidden="false" customHeight="true" outlineLevel="0" collapsed="false">
      <c r="A95" s="4" t="n">
        <v>91</v>
      </c>
      <c r="B95" s="5" t="s">
        <v>856</v>
      </c>
      <c r="C95" s="5" t="s">
        <v>541</v>
      </c>
      <c r="D95" s="4" t="s">
        <v>200</v>
      </c>
      <c r="E95" s="5" t="s">
        <v>752</v>
      </c>
      <c r="F95" s="5" t="s">
        <v>140</v>
      </c>
      <c r="G95" s="5" t="s">
        <v>753</v>
      </c>
      <c r="H95" s="6" t="s">
        <v>857</v>
      </c>
      <c r="I95" s="6" t="s">
        <v>858</v>
      </c>
      <c r="J95" s="5" t="s">
        <v>545</v>
      </c>
      <c r="K95" s="5" t="s">
        <v>788</v>
      </c>
      <c r="L95" s="6" t="s">
        <v>859</v>
      </c>
      <c r="M95" s="6" t="s">
        <v>860</v>
      </c>
      <c r="N95" s="6" t="s">
        <v>861</v>
      </c>
      <c r="O95" s="5" t="s">
        <v>549</v>
      </c>
      <c r="P95" s="4" t="n">
        <v>12</v>
      </c>
      <c r="Q95" s="4" t="n">
        <v>8</v>
      </c>
      <c r="R95" s="4" t="n">
        <v>3</v>
      </c>
      <c r="S95" s="4" t="n">
        <v>5</v>
      </c>
      <c r="T95" s="4" t="n">
        <v>8</v>
      </c>
      <c r="U95" s="4" t="n">
        <v>4</v>
      </c>
      <c r="V95" s="4" t="n">
        <v>1</v>
      </c>
      <c r="W95" s="4" t="n">
        <v>0</v>
      </c>
      <c r="X95" s="4" t="n">
        <v>0</v>
      </c>
      <c r="Y95" s="4" t="n">
        <v>3</v>
      </c>
      <c r="Z95" s="4" t="n">
        <v>5</v>
      </c>
      <c r="AA95" s="7" t="n">
        <v>5</v>
      </c>
      <c r="AB95" s="7" t="n">
        <v>2</v>
      </c>
      <c r="AC95" s="4" t="n">
        <v>5</v>
      </c>
      <c r="AD95" s="8" t="n">
        <f aca="false">SUM(P95:AC95)</f>
        <v>61</v>
      </c>
      <c r="AE95" s="9" t="str">
        <f aca="false">IF(AD95&gt;=78,"Tier 1 Named",IF(AD95&gt;=68,"Tier 2 Priority",IF(AD95&gt;=58,"Tier 3 Volume",IF(AD95&gt;=45,"Nurture","Disqualify"))))</f>
        <v>Tier 3 Volume</v>
      </c>
      <c r="AF95" s="4" t="n">
        <v>3</v>
      </c>
      <c r="AG95" s="6"/>
    </row>
    <row r="96" customFormat="false" ht="91.5" hidden="false" customHeight="true" outlineLevel="0" collapsed="false">
      <c r="A96" s="4" t="n">
        <v>92</v>
      </c>
      <c r="B96" s="5" t="s">
        <v>862</v>
      </c>
      <c r="C96" s="5" t="s">
        <v>51</v>
      </c>
      <c r="D96" s="4" t="s">
        <v>200</v>
      </c>
      <c r="E96" s="5" t="s">
        <v>752</v>
      </c>
      <c r="F96" s="5" t="s">
        <v>140</v>
      </c>
      <c r="G96" s="5" t="s">
        <v>753</v>
      </c>
      <c r="H96" s="6" t="s">
        <v>863</v>
      </c>
      <c r="I96" s="6" t="s">
        <v>864</v>
      </c>
      <c r="J96" s="5" t="s">
        <v>865</v>
      </c>
      <c r="K96" s="5" t="s">
        <v>835</v>
      </c>
      <c r="L96" s="6" t="s">
        <v>866</v>
      </c>
      <c r="M96" s="6" t="s">
        <v>867</v>
      </c>
      <c r="N96" s="6" t="s">
        <v>868</v>
      </c>
      <c r="O96" s="5" t="s">
        <v>59</v>
      </c>
      <c r="P96" s="4" t="n">
        <v>12</v>
      </c>
      <c r="Q96" s="4" t="n">
        <v>8</v>
      </c>
      <c r="R96" s="4" t="n">
        <v>3</v>
      </c>
      <c r="S96" s="4" t="n">
        <v>4</v>
      </c>
      <c r="T96" s="4" t="n">
        <v>6</v>
      </c>
      <c r="U96" s="4" t="n">
        <v>4</v>
      </c>
      <c r="V96" s="4" t="n">
        <v>1</v>
      </c>
      <c r="W96" s="4" t="n">
        <v>2</v>
      </c>
      <c r="X96" s="4" t="n">
        <v>0</v>
      </c>
      <c r="Y96" s="4" t="n">
        <v>3</v>
      </c>
      <c r="Z96" s="4" t="n">
        <v>5</v>
      </c>
      <c r="AA96" s="7" t="n">
        <v>5</v>
      </c>
      <c r="AB96" s="7" t="n">
        <v>2</v>
      </c>
      <c r="AC96" s="4" t="n">
        <v>5</v>
      </c>
      <c r="AD96" s="8" t="n">
        <f aca="false">SUM(P96:AC96)</f>
        <v>60</v>
      </c>
      <c r="AE96" s="9" t="str">
        <f aca="false">IF(AD96&gt;=78,"Tier 1 Named",IF(AD96&gt;=68,"Tier 2 Priority",IF(AD96&gt;=58,"Tier 3 Volume",IF(AD96&gt;=45,"Nurture","Disqualify"))))</f>
        <v>Tier 3 Volume</v>
      </c>
      <c r="AF96" s="4" t="n">
        <v>3</v>
      </c>
      <c r="AG96" s="6" t="s">
        <v>869</v>
      </c>
    </row>
    <row r="97" customFormat="false" ht="91.5" hidden="false" customHeight="true" outlineLevel="0" collapsed="false">
      <c r="A97" s="4" t="n">
        <v>93</v>
      </c>
      <c r="B97" s="5" t="s">
        <v>870</v>
      </c>
      <c r="C97" s="5" t="s">
        <v>62</v>
      </c>
      <c r="D97" s="4" t="s">
        <v>693</v>
      </c>
      <c r="E97" s="5" t="s">
        <v>190</v>
      </c>
      <c r="F97" s="5" t="s">
        <v>107</v>
      </c>
      <c r="G97" s="5" t="s">
        <v>40</v>
      </c>
      <c r="H97" s="6" t="s">
        <v>871</v>
      </c>
      <c r="I97" s="6" t="s">
        <v>872</v>
      </c>
      <c r="J97" s="5" t="s">
        <v>873</v>
      </c>
      <c r="K97" s="5" t="s">
        <v>788</v>
      </c>
      <c r="L97" s="6" t="s">
        <v>184</v>
      </c>
      <c r="M97" s="6" t="s">
        <v>874</v>
      </c>
      <c r="N97" s="6" t="s">
        <v>875</v>
      </c>
      <c r="O97" s="5" t="s">
        <v>71</v>
      </c>
      <c r="P97" s="4" t="n">
        <v>12</v>
      </c>
      <c r="Q97" s="4" t="n">
        <v>9</v>
      </c>
      <c r="R97" s="4" t="n">
        <v>3</v>
      </c>
      <c r="S97" s="4" t="n">
        <v>4</v>
      </c>
      <c r="T97" s="4" t="n">
        <v>6</v>
      </c>
      <c r="U97" s="4" t="n">
        <v>2</v>
      </c>
      <c r="V97" s="4" t="n">
        <v>1</v>
      </c>
      <c r="W97" s="4" t="n">
        <v>0</v>
      </c>
      <c r="X97" s="4" t="n">
        <v>2</v>
      </c>
      <c r="Y97" s="4" t="n">
        <v>5</v>
      </c>
      <c r="Z97" s="4" t="n">
        <v>3</v>
      </c>
      <c r="AA97" s="7" t="n">
        <v>5</v>
      </c>
      <c r="AB97" s="7" t="n">
        <v>2</v>
      </c>
      <c r="AC97" s="4" t="n">
        <v>5</v>
      </c>
      <c r="AD97" s="8" t="n">
        <f aca="false">SUM(P97:AC97)</f>
        <v>59</v>
      </c>
      <c r="AE97" s="9" t="str">
        <f aca="false">IF(AD97&gt;=78,"Tier 1 Named",IF(AD97&gt;=68,"Tier 2 Priority",IF(AD97&gt;=58,"Tier 3 Volume",IF(AD97&gt;=45,"Nurture","Disqualify"))))</f>
        <v>Tier 3 Volume</v>
      </c>
      <c r="AF97" s="4" t="n">
        <v>3</v>
      </c>
      <c r="AG97" s="6"/>
    </row>
    <row r="98" customFormat="false" ht="91.5" hidden="false" customHeight="true" outlineLevel="0" collapsed="false">
      <c r="A98" s="4" t="n">
        <v>94</v>
      </c>
      <c r="B98" s="5" t="s">
        <v>876</v>
      </c>
      <c r="C98" s="5" t="s">
        <v>541</v>
      </c>
      <c r="D98" s="4" t="s">
        <v>693</v>
      </c>
      <c r="E98" s="5" t="s">
        <v>752</v>
      </c>
      <c r="F98" s="5" t="s">
        <v>140</v>
      </c>
      <c r="G98" s="5" t="s">
        <v>423</v>
      </c>
      <c r="H98" s="6" t="s">
        <v>877</v>
      </c>
      <c r="I98" s="6" t="s">
        <v>878</v>
      </c>
      <c r="J98" s="5" t="s">
        <v>879</v>
      </c>
      <c r="K98" s="5" t="s">
        <v>788</v>
      </c>
      <c r="L98" s="6" t="s">
        <v>880</v>
      </c>
      <c r="M98" s="6" t="s">
        <v>881</v>
      </c>
      <c r="N98" s="6" t="s">
        <v>882</v>
      </c>
      <c r="O98" s="5" t="s">
        <v>883</v>
      </c>
      <c r="P98" s="4" t="n">
        <v>12</v>
      </c>
      <c r="Q98" s="4" t="n">
        <v>8</v>
      </c>
      <c r="R98" s="4" t="n">
        <v>3</v>
      </c>
      <c r="S98" s="4" t="n">
        <v>5</v>
      </c>
      <c r="T98" s="4" t="n">
        <v>6</v>
      </c>
      <c r="U98" s="4" t="n">
        <v>4</v>
      </c>
      <c r="V98" s="4" t="n">
        <v>1</v>
      </c>
      <c r="W98" s="4" t="n">
        <v>2</v>
      </c>
      <c r="X98" s="4" t="n">
        <v>0</v>
      </c>
      <c r="Y98" s="4" t="n">
        <v>3</v>
      </c>
      <c r="Z98" s="4" t="n">
        <v>5</v>
      </c>
      <c r="AA98" s="7" t="n">
        <v>5</v>
      </c>
      <c r="AB98" s="7" t="n">
        <v>2</v>
      </c>
      <c r="AC98" s="4" t="n">
        <v>3</v>
      </c>
      <c r="AD98" s="8" t="n">
        <f aca="false">SUM(P98:AC98)</f>
        <v>59</v>
      </c>
      <c r="AE98" s="9" t="str">
        <f aca="false">IF(AD98&gt;=78,"Tier 1 Named",IF(AD98&gt;=68,"Tier 2 Priority",IF(AD98&gt;=58,"Tier 3 Volume",IF(AD98&gt;=45,"Nurture","Disqualify"))))</f>
        <v>Tier 3 Volume</v>
      </c>
      <c r="AF98" s="4" t="n">
        <v>3</v>
      </c>
      <c r="AG98" s="6" t="s">
        <v>884</v>
      </c>
    </row>
    <row r="99" customFormat="false" ht="91.5" hidden="false" customHeight="true" outlineLevel="0" collapsed="false">
      <c r="A99" s="4" t="n">
        <v>95</v>
      </c>
      <c r="B99" s="5" t="s">
        <v>885</v>
      </c>
      <c r="C99" s="5" t="s">
        <v>222</v>
      </c>
      <c r="D99" s="4" t="s">
        <v>693</v>
      </c>
      <c r="E99" s="5" t="s">
        <v>190</v>
      </c>
      <c r="F99" s="5" t="s">
        <v>120</v>
      </c>
      <c r="G99" s="5" t="s">
        <v>40</v>
      </c>
      <c r="H99" s="6" t="s">
        <v>886</v>
      </c>
      <c r="I99" s="6" t="s">
        <v>887</v>
      </c>
      <c r="J99" s="5" t="s">
        <v>888</v>
      </c>
      <c r="K99" s="5" t="s">
        <v>788</v>
      </c>
      <c r="L99" s="6" t="s">
        <v>797</v>
      </c>
      <c r="M99" s="6" t="s">
        <v>889</v>
      </c>
      <c r="N99" s="6" t="s">
        <v>890</v>
      </c>
      <c r="O99" s="5" t="s">
        <v>891</v>
      </c>
      <c r="P99" s="4" t="n">
        <v>12</v>
      </c>
      <c r="Q99" s="4" t="n">
        <v>9</v>
      </c>
      <c r="R99" s="4" t="n">
        <v>3</v>
      </c>
      <c r="S99" s="4" t="n">
        <v>4</v>
      </c>
      <c r="T99" s="4" t="n">
        <v>6</v>
      </c>
      <c r="U99" s="4" t="n">
        <v>4</v>
      </c>
      <c r="V99" s="4" t="n">
        <v>3</v>
      </c>
      <c r="W99" s="4" t="n">
        <v>0</v>
      </c>
      <c r="X99" s="4" t="n">
        <v>0</v>
      </c>
      <c r="Y99" s="4" t="n">
        <v>3</v>
      </c>
      <c r="Z99" s="4" t="n">
        <v>3</v>
      </c>
      <c r="AA99" s="7" t="n">
        <v>5</v>
      </c>
      <c r="AB99" s="7" t="n">
        <v>2</v>
      </c>
      <c r="AC99" s="4" t="n">
        <v>5</v>
      </c>
      <c r="AD99" s="8" t="n">
        <f aca="false">SUM(P99:AC99)</f>
        <v>59</v>
      </c>
      <c r="AE99" s="9" t="str">
        <f aca="false">IF(AD99&gt;=78,"Tier 1 Named",IF(AD99&gt;=68,"Tier 2 Priority",IF(AD99&gt;=58,"Tier 3 Volume",IF(AD99&gt;=45,"Nurture","Disqualify"))))</f>
        <v>Tier 3 Volume</v>
      </c>
      <c r="AF99" s="4" t="n">
        <v>3</v>
      </c>
      <c r="AG99" s="6" t="s">
        <v>892</v>
      </c>
    </row>
    <row r="100" customFormat="false" ht="91.5" hidden="false" customHeight="true" outlineLevel="0" collapsed="false">
      <c r="A100" s="4" t="n">
        <v>96</v>
      </c>
      <c r="B100" s="5" t="s">
        <v>893</v>
      </c>
      <c r="C100" s="5" t="s">
        <v>378</v>
      </c>
      <c r="D100" s="4" t="s">
        <v>693</v>
      </c>
      <c r="E100" s="5" t="s">
        <v>190</v>
      </c>
      <c r="F100" s="5" t="s">
        <v>39</v>
      </c>
      <c r="G100" s="5" t="s">
        <v>40</v>
      </c>
      <c r="H100" s="6" t="s">
        <v>894</v>
      </c>
      <c r="I100" s="6" t="s">
        <v>895</v>
      </c>
      <c r="J100" s="5" t="s">
        <v>896</v>
      </c>
      <c r="K100" s="5" t="s">
        <v>205</v>
      </c>
      <c r="L100" s="6" t="s">
        <v>897</v>
      </c>
      <c r="M100" s="6" t="s">
        <v>898</v>
      </c>
      <c r="N100" s="6" t="s">
        <v>899</v>
      </c>
      <c r="O100" s="5" t="s">
        <v>900</v>
      </c>
      <c r="P100" s="4" t="n">
        <v>12</v>
      </c>
      <c r="Q100" s="4" t="n">
        <v>9</v>
      </c>
      <c r="R100" s="4" t="n">
        <v>3</v>
      </c>
      <c r="S100" s="4" t="n">
        <v>4</v>
      </c>
      <c r="T100" s="4" t="n">
        <v>6</v>
      </c>
      <c r="U100" s="4" t="n">
        <v>4</v>
      </c>
      <c r="V100" s="4" t="n">
        <v>1</v>
      </c>
      <c r="W100" s="4" t="n">
        <v>2</v>
      </c>
      <c r="X100" s="4" t="n">
        <v>0</v>
      </c>
      <c r="Y100" s="4" t="n">
        <v>3</v>
      </c>
      <c r="Z100" s="4" t="n">
        <v>3</v>
      </c>
      <c r="AA100" s="7" t="n">
        <v>5</v>
      </c>
      <c r="AB100" s="7" t="n">
        <v>2</v>
      </c>
      <c r="AC100" s="4" t="n">
        <v>5</v>
      </c>
      <c r="AD100" s="8" t="n">
        <f aca="false">SUM(P100:AC100)</f>
        <v>59</v>
      </c>
      <c r="AE100" s="9" t="str">
        <f aca="false">IF(AD100&gt;=78,"Tier 1 Named",IF(AD100&gt;=68,"Tier 2 Priority",IF(AD100&gt;=58,"Tier 3 Volume",IF(AD100&gt;=45,"Nurture","Disqualify"))))</f>
        <v>Tier 3 Volume</v>
      </c>
      <c r="AF100" s="4" t="n">
        <v>2</v>
      </c>
      <c r="AG100" s="6"/>
    </row>
    <row r="101" customFormat="false" ht="91.5" hidden="false" customHeight="true" outlineLevel="0" collapsed="false">
      <c r="A101" s="4" t="n">
        <v>97</v>
      </c>
      <c r="B101" s="5" t="s">
        <v>901</v>
      </c>
      <c r="C101" s="5" t="s">
        <v>51</v>
      </c>
      <c r="D101" s="4" t="s">
        <v>693</v>
      </c>
      <c r="E101" s="5" t="s">
        <v>752</v>
      </c>
      <c r="F101" s="5" t="s">
        <v>63</v>
      </c>
      <c r="G101" s="5" t="s">
        <v>423</v>
      </c>
      <c r="H101" s="6" t="s">
        <v>902</v>
      </c>
      <c r="I101" s="6" t="s">
        <v>903</v>
      </c>
      <c r="J101" s="5" t="s">
        <v>904</v>
      </c>
      <c r="K101" s="5" t="s">
        <v>788</v>
      </c>
      <c r="L101" s="6" t="s">
        <v>797</v>
      </c>
      <c r="M101" s="6" t="s">
        <v>905</v>
      </c>
      <c r="N101" s="6" t="s">
        <v>906</v>
      </c>
      <c r="O101" s="5" t="s">
        <v>907</v>
      </c>
      <c r="P101" s="4" t="n">
        <v>12</v>
      </c>
      <c r="Q101" s="4" t="n">
        <v>8</v>
      </c>
      <c r="R101" s="4" t="n">
        <v>3</v>
      </c>
      <c r="S101" s="4" t="n">
        <v>4</v>
      </c>
      <c r="T101" s="4" t="n">
        <v>6</v>
      </c>
      <c r="U101" s="4" t="n">
        <v>4</v>
      </c>
      <c r="V101" s="4" t="n">
        <v>1</v>
      </c>
      <c r="W101" s="4" t="n">
        <v>0</v>
      </c>
      <c r="X101" s="4" t="n">
        <v>0</v>
      </c>
      <c r="Y101" s="4" t="n">
        <v>5</v>
      </c>
      <c r="Z101" s="4" t="n">
        <v>5</v>
      </c>
      <c r="AA101" s="7" t="n">
        <v>5</v>
      </c>
      <c r="AB101" s="7" t="n">
        <v>2</v>
      </c>
      <c r="AC101" s="4" t="n">
        <v>3</v>
      </c>
      <c r="AD101" s="8" t="n">
        <f aca="false">SUM(P101:AC101)</f>
        <v>58</v>
      </c>
      <c r="AE101" s="9" t="str">
        <f aca="false">IF(AD101&gt;=78,"Tier 1 Named",IF(AD101&gt;=68,"Tier 2 Priority",IF(AD101&gt;=58,"Tier 3 Volume",IF(AD101&gt;=45,"Nurture","Disqualify"))))</f>
        <v>Tier 3 Volume</v>
      </c>
      <c r="AF101" s="4" t="n">
        <v>3</v>
      </c>
      <c r="AG101" s="6" t="s">
        <v>908</v>
      </c>
    </row>
    <row r="102" customFormat="false" ht="91.5" hidden="false" customHeight="true" outlineLevel="0" collapsed="false">
      <c r="A102" s="4" t="n">
        <v>98</v>
      </c>
      <c r="B102" s="5" t="s">
        <v>909</v>
      </c>
      <c r="C102" s="5" t="s">
        <v>776</v>
      </c>
      <c r="D102" s="4" t="s">
        <v>693</v>
      </c>
      <c r="E102" s="5" t="s">
        <v>190</v>
      </c>
      <c r="F102" s="5" t="s">
        <v>162</v>
      </c>
      <c r="G102" s="5" t="s">
        <v>40</v>
      </c>
      <c r="H102" s="6" t="s">
        <v>910</v>
      </c>
      <c r="I102" s="6" t="s">
        <v>911</v>
      </c>
      <c r="J102" s="5" t="s">
        <v>912</v>
      </c>
      <c r="K102" s="5" t="s">
        <v>788</v>
      </c>
      <c r="L102" s="6" t="s">
        <v>913</v>
      </c>
      <c r="M102" s="6" t="s">
        <v>914</v>
      </c>
      <c r="N102" s="6" t="s">
        <v>915</v>
      </c>
      <c r="O102" s="5" t="s">
        <v>916</v>
      </c>
      <c r="P102" s="4" t="n">
        <v>12</v>
      </c>
      <c r="Q102" s="4" t="n">
        <v>9</v>
      </c>
      <c r="R102" s="4" t="n">
        <v>3</v>
      </c>
      <c r="S102" s="4" t="n">
        <v>4</v>
      </c>
      <c r="T102" s="4" t="n">
        <v>6</v>
      </c>
      <c r="U102" s="4" t="n">
        <v>4</v>
      </c>
      <c r="V102" s="4" t="n">
        <v>1</v>
      </c>
      <c r="W102" s="4" t="n">
        <v>0</v>
      </c>
      <c r="X102" s="4" t="n">
        <v>2</v>
      </c>
      <c r="Y102" s="4" t="n">
        <v>2</v>
      </c>
      <c r="Z102" s="4" t="n">
        <v>3</v>
      </c>
      <c r="AA102" s="7" t="n">
        <v>5</v>
      </c>
      <c r="AB102" s="7" t="n">
        <v>2</v>
      </c>
      <c r="AC102" s="4" t="n">
        <v>5</v>
      </c>
      <c r="AD102" s="8" t="n">
        <f aca="false">SUM(P102:AC102)</f>
        <v>58</v>
      </c>
      <c r="AE102" s="9" t="str">
        <f aca="false">IF(AD102&gt;=78,"Tier 1 Named",IF(AD102&gt;=68,"Tier 2 Priority",IF(AD102&gt;=58,"Tier 3 Volume",IF(AD102&gt;=45,"Nurture","Disqualify"))))</f>
        <v>Tier 3 Volume</v>
      </c>
      <c r="AF102" s="4" t="n">
        <v>3</v>
      </c>
      <c r="AG102" s="6" t="s">
        <v>917</v>
      </c>
    </row>
    <row r="103" customFormat="false" ht="91.5" hidden="false" customHeight="true" outlineLevel="0" collapsed="false">
      <c r="A103" s="4" t="n">
        <v>99</v>
      </c>
      <c r="B103" s="5" t="s">
        <v>918</v>
      </c>
      <c r="C103" s="5" t="s">
        <v>541</v>
      </c>
      <c r="D103" s="4" t="s">
        <v>919</v>
      </c>
      <c r="E103" s="5" t="s">
        <v>752</v>
      </c>
      <c r="F103" s="5" t="s">
        <v>140</v>
      </c>
      <c r="G103" s="5" t="s">
        <v>260</v>
      </c>
      <c r="H103" s="6" t="s">
        <v>920</v>
      </c>
      <c r="I103" s="6" t="s">
        <v>921</v>
      </c>
      <c r="J103" s="5" t="s">
        <v>922</v>
      </c>
      <c r="K103" s="5" t="s">
        <v>788</v>
      </c>
      <c r="L103" s="6" t="s">
        <v>923</v>
      </c>
      <c r="M103" s="6" t="s">
        <v>924</v>
      </c>
      <c r="N103" s="6" t="s">
        <v>925</v>
      </c>
      <c r="O103" s="5" t="s">
        <v>926</v>
      </c>
      <c r="P103" s="4" t="n">
        <v>12</v>
      </c>
      <c r="Q103" s="4" t="n">
        <v>8</v>
      </c>
      <c r="R103" s="4" t="n">
        <v>3</v>
      </c>
      <c r="S103" s="4" t="n">
        <v>4</v>
      </c>
      <c r="T103" s="4" t="n">
        <v>6</v>
      </c>
      <c r="U103" s="4" t="n">
        <v>2</v>
      </c>
      <c r="V103" s="4" t="n">
        <v>1</v>
      </c>
      <c r="W103" s="4" t="n">
        <v>2</v>
      </c>
      <c r="X103" s="4" t="n">
        <v>0</v>
      </c>
      <c r="Y103" s="4" t="n">
        <v>5</v>
      </c>
      <c r="Z103" s="4" t="n">
        <v>3</v>
      </c>
      <c r="AA103" s="7" t="n">
        <v>5</v>
      </c>
      <c r="AB103" s="7" t="n">
        <v>2</v>
      </c>
      <c r="AC103" s="4" t="n">
        <v>5</v>
      </c>
      <c r="AD103" s="8" t="n">
        <f aca="false">SUM(P103:AC103)</f>
        <v>58</v>
      </c>
      <c r="AE103" s="9" t="str">
        <f aca="false">IF(AD103&gt;=78,"Tier 1 Named",IF(AD103&gt;=68,"Tier 2 Priority",IF(AD103&gt;=58,"Tier 3 Volume",IF(AD103&gt;=45,"Nurture","Disqualify"))))</f>
        <v>Tier 3 Volume</v>
      </c>
      <c r="AF103" s="4" t="n">
        <v>3</v>
      </c>
      <c r="AG103" s="6"/>
    </row>
    <row r="104" customFormat="false" ht="91.5" hidden="false" customHeight="true" outlineLevel="0" collapsed="false">
      <c r="A104" s="4" t="n">
        <v>100</v>
      </c>
      <c r="B104" s="5" t="s">
        <v>927</v>
      </c>
      <c r="C104" s="5" t="s">
        <v>62</v>
      </c>
      <c r="D104" s="4" t="s">
        <v>200</v>
      </c>
      <c r="E104" s="5" t="s">
        <v>752</v>
      </c>
      <c r="F104" s="5" t="s">
        <v>140</v>
      </c>
      <c r="G104" s="5" t="s">
        <v>433</v>
      </c>
      <c r="H104" s="6" t="s">
        <v>928</v>
      </c>
      <c r="I104" s="6" t="s">
        <v>929</v>
      </c>
      <c r="J104" s="5" t="s">
        <v>930</v>
      </c>
      <c r="K104" s="5" t="s">
        <v>835</v>
      </c>
      <c r="L104" s="6" t="s">
        <v>931</v>
      </c>
      <c r="M104" s="6" t="s">
        <v>932</v>
      </c>
      <c r="N104" s="6" t="s">
        <v>933</v>
      </c>
      <c r="O104" s="5" t="s">
        <v>934</v>
      </c>
      <c r="P104" s="4" t="n">
        <v>12</v>
      </c>
      <c r="Q104" s="4" t="n">
        <v>8</v>
      </c>
      <c r="R104" s="4" t="n">
        <v>3</v>
      </c>
      <c r="S104" s="4" t="n">
        <v>2</v>
      </c>
      <c r="T104" s="4" t="n">
        <v>6</v>
      </c>
      <c r="U104" s="4" t="n">
        <v>2</v>
      </c>
      <c r="V104" s="4" t="n">
        <v>1</v>
      </c>
      <c r="W104" s="4" t="n">
        <v>0</v>
      </c>
      <c r="X104" s="4" t="n">
        <v>2</v>
      </c>
      <c r="Y104" s="4" t="n">
        <v>3</v>
      </c>
      <c r="Z104" s="4" t="n">
        <v>3</v>
      </c>
      <c r="AA104" s="7" t="n">
        <v>5</v>
      </c>
      <c r="AB104" s="7" t="n">
        <v>2</v>
      </c>
      <c r="AC104" s="4" t="n">
        <v>5</v>
      </c>
      <c r="AD104" s="8" t="n">
        <f aca="false">SUM(P104:AC104)</f>
        <v>54</v>
      </c>
      <c r="AE104" s="9" t="str">
        <f aca="false">IF(AD104&gt;=78,"Tier 1 Named",IF(AD104&gt;=68,"Tier 2 Priority",IF(AD104&gt;=58,"Tier 3 Volume",IF(AD104&gt;=45,"Nurture","Disqualify"))))</f>
        <v>Nurture</v>
      </c>
      <c r="AF104" s="4" t="n">
        <v>3</v>
      </c>
      <c r="AG104" s="6" t="s">
        <v>935</v>
      </c>
    </row>
    <row r="106" customFormat="false" ht="15" hidden="false" customHeight="false" outlineLevel="0" collapsed="false">
      <c r="A106" s="10" t="s">
        <v>936</v>
      </c>
    </row>
    <row r="107" customFormat="false" ht="25.5" hidden="false" customHeight="true" outlineLevel="0" collapsed="false">
      <c r="A107" s="11" t="s">
        <v>937</v>
      </c>
      <c r="B107" s="12" t="s">
        <v>938</v>
      </c>
      <c r="C107" s="12"/>
      <c r="D107" s="12"/>
      <c r="E107" s="12"/>
      <c r="F107" s="12"/>
      <c r="G107" s="12"/>
      <c r="H107" s="12"/>
      <c r="I107" s="12"/>
      <c r="J107" s="12"/>
      <c r="K107" s="12"/>
      <c r="L107" s="12"/>
      <c r="M107" s="12"/>
      <c r="N107" s="12"/>
    </row>
    <row r="108" customFormat="false" ht="25.5" hidden="false" customHeight="true" outlineLevel="0" collapsed="false">
      <c r="A108" s="11" t="s">
        <v>31</v>
      </c>
      <c r="B108" s="12" t="s">
        <v>939</v>
      </c>
      <c r="C108" s="12"/>
      <c r="D108" s="12"/>
      <c r="E108" s="12"/>
      <c r="F108" s="12"/>
      <c r="G108" s="12"/>
      <c r="H108" s="12"/>
      <c r="I108" s="12"/>
      <c r="J108" s="12"/>
      <c r="K108" s="12"/>
      <c r="L108" s="12"/>
      <c r="M108" s="12"/>
      <c r="N108" s="12"/>
    </row>
    <row r="109" customFormat="false" ht="25.5" hidden="false" customHeight="true" outlineLevel="0" collapsed="false">
      <c r="A109" s="11" t="s">
        <v>32</v>
      </c>
      <c r="B109" s="12" t="s">
        <v>940</v>
      </c>
      <c r="C109" s="12"/>
      <c r="D109" s="12"/>
      <c r="E109" s="12"/>
      <c r="F109" s="12"/>
      <c r="G109" s="12"/>
      <c r="H109" s="12"/>
      <c r="I109" s="12"/>
      <c r="J109" s="12"/>
      <c r="K109" s="12"/>
      <c r="L109" s="12"/>
      <c r="M109" s="12"/>
      <c r="N109" s="12"/>
    </row>
    <row r="110" customFormat="false" ht="25.5" hidden="false" customHeight="true" outlineLevel="0" collapsed="false">
      <c r="A110" s="11" t="s">
        <v>33</v>
      </c>
      <c r="B110" s="12" t="s">
        <v>941</v>
      </c>
      <c r="C110" s="12"/>
      <c r="D110" s="12"/>
      <c r="E110" s="12"/>
      <c r="F110" s="12"/>
      <c r="G110" s="12"/>
      <c r="H110" s="12"/>
      <c r="I110" s="12"/>
      <c r="J110" s="12"/>
      <c r="K110" s="12"/>
      <c r="L110" s="12"/>
      <c r="M110" s="12"/>
      <c r="N110" s="12"/>
    </row>
    <row r="111" customFormat="false" ht="25.5" hidden="false" customHeight="true" outlineLevel="0" collapsed="false">
      <c r="A111" s="11" t="s">
        <v>12</v>
      </c>
      <c r="B111" s="12" t="s">
        <v>942</v>
      </c>
      <c r="C111" s="12"/>
      <c r="D111" s="12"/>
      <c r="E111" s="12"/>
      <c r="F111" s="12"/>
      <c r="G111" s="12"/>
      <c r="H111" s="12"/>
      <c r="I111" s="12"/>
      <c r="J111" s="12"/>
      <c r="K111" s="12"/>
      <c r="L111" s="12"/>
      <c r="M111" s="12"/>
      <c r="N111" s="12"/>
    </row>
    <row r="112" customFormat="false" ht="25.5" hidden="false" customHeight="true" outlineLevel="0" collapsed="false">
      <c r="A112" s="11" t="s">
        <v>943</v>
      </c>
      <c r="B112" s="12" t="s">
        <v>944</v>
      </c>
      <c r="C112" s="12"/>
      <c r="D112" s="12"/>
      <c r="E112" s="12"/>
      <c r="F112" s="12"/>
      <c r="G112" s="12"/>
      <c r="H112" s="12"/>
      <c r="I112" s="12"/>
      <c r="J112" s="12"/>
      <c r="K112" s="12"/>
      <c r="L112" s="12"/>
      <c r="M112" s="12"/>
      <c r="N112" s="12"/>
    </row>
    <row r="113" customFormat="false" ht="25.5" hidden="false" customHeight="true" outlineLevel="0" collapsed="false">
      <c r="A113" s="11" t="s">
        <v>945</v>
      </c>
      <c r="B113" s="12" t="s">
        <v>946</v>
      </c>
      <c r="C113" s="12"/>
      <c r="D113" s="12"/>
      <c r="E113" s="12"/>
      <c r="F113" s="12"/>
      <c r="G113" s="12"/>
      <c r="H113" s="12"/>
      <c r="I113" s="12"/>
      <c r="J113" s="12"/>
      <c r="K113" s="12"/>
      <c r="L113" s="12"/>
      <c r="M113" s="12"/>
      <c r="N113" s="12"/>
    </row>
  </sheetData>
  <autoFilter ref="A4:AG104"/>
  <mergeCells count="8">
    <mergeCell ref="A2:AF2"/>
    <mergeCell ref="B107:N107"/>
    <mergeCell ref="B108:N108"/>
    <mergeCell ref="B109:N109"/>
    <mergeCell ref="B110:N110"/>
    <mergeCell ref="B111:N111"/>
    <mergeCell ref="B112:N112"/>
    <mergeCell ref="B113:N1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7"/>
    <col collapsed="false" customWidth="true" hidden="false" outlineLevel="0" max="4" min="4" style="0" width="74"/>
    <col collapsed="false" customWidth="true" hidden="false" outlineLevel="0" max="5" min="5" style="0" width="50"/>
  </cols>
  <sheetData>
    <row r="1" customFormat="false" ht="17.35" hidden="false" customHeight="false" outlineLevel="0" collapsed="false">
      <c r="A1" s="1" t="s">
        <v>947</v>
      </c>
    </row>
    <row r="2" customFormat="false" ht="15" hidden="false" customHeight="false" outlineLevel="0" collapsed="false">
      <c r="A2" s="13" t="s">
        <v>948</v>
      </c>
    </row>
    <row r="4" customFormat="false" ht="19.5" hidden="false" customHeight="true" outlineLevel="0" collapsed="false">
      <c r="A4" s="3" t="s">
        <v>949</v>
      </c>
      <c r="B4" s="3" t="s">
        <v>950</v>
      </c>
      <c r="C4" s="3" t="s">
        <v>951</v>
      </c>
      <c r="D4" s="3" t="s">
        <v>952</v>
      </c>
      <c r="E4" s="3" t="s">
        <v>953</v>
      </c>
    </row>
    <row r="5" customFormat="false" ht="30" hidden="false" customHeight="true" outlineLevel="0" collapsed="false">
      <c r="A5" s="14" t="s">
        <v>954</v>
      </c>
      <c r="B5" s="14" t="s">
        <v>955</v>
      </c>
      <c r="C5" s="14" t="s">
        <v>956</v>
      </c>
      <c r="D5" s="6" t="s">
        <v>957</v>
      </c>
      <c r="E5" s="6" t="s">
        <v>958</v>
      </c>
    </row>
    <row r="6" customFormat="false" ht="30" hidden="false" customHeight="true" outlineLevel="0" collapsed="false">
      <c r="A6" s="14" t="s">
        <v>959</v>
      </c>
      <c r="B6" s="14" t="s">
        <v>960</v>
      </c>
      <c r="C6" s="14" t="s">
        <v>961</v>
      </c>
      <c r="D6" s="6" t="s">
        <v>962</v>
      </c>
      <c r="E6" s="6" t="s">
        <v>963</v>
      </c>
    </row>
    <row r="7" customFormat="false" ht="30" hidden="false" customHeight="true" outlineLevel="0" collapsed="false">
      <c r="A7" s="14" t="s">
        <v>964</v>
      </c>
      <c r="B7" s="14" t="s">
        <v>965</v>
      </c>
      <c r="C7" s="14" t="s">
        <v>966</v>
      </c>
      <c r="D7" s="6" t="s">
        <v>967</v>
      </c>
      <c r="E7" s="6" t="s">
        <v>968</v>
      </c>
    </row>
    <row r="8" customFormat="false" ht="30" hidden="false" customHeight="true" outlineLevel="0" collapsed="false">
      <c r="A8" s="14" t="s">
        <v>969</v>
      </c>
      <c r="B8" s="14" t="s">
        <v>970</v>
      </c>
      <c r="C8" s="14" t="s">
        <v>971</v>
      </c>
      <c r="D8" s="6" t="s">
        <v>972</v>
      </c>
      <c r="E8" s="6" t="s">
        <v>973</v>
      </c>
    </row>
    <row r="9" customFormat="false" ht="30" hidden="false" customHeight="true" outlineLevel="0" collapsed="false">
      <c r="A9" s="14" t="s">
        <v>974</v>
      </c>
      <c r="B9" s="14" t="s">
        <v>975</v>
      </c>
      <c r="C9" s="14" t="s">
        <v>961</v>
      </c>
      <c r="D9" s="6" t="s">
        <v>976</v>
      </c>
      <c r="E9" s="6" t="s">
        <v>977</v>
      </c>
    </row>
    <row r="10" customFormat="false" ht="30" hidden="false" customHeight="true" outlineLevel="0" collapsed="false">
      <c r="A10" s="14" t="s">
        <v>978</v>
      </c>
      <c r="B10" s="14" t="s">
        <v>979</v>
      </c>
      <c r="C10" s="14" t="s">
        <v>980</v>
      </c>
      <c r="D10" s="6" t="s">
        <v>981</v>
      </c>
      <c r="E10" s="6" t="s">
        <v>982</v>
      </c>
    </row>
    <row r="11" customFormat="false" ht="30" hidden="false" customHeight="true" outlineLevel="0" collapsed="false">
      <c r="A11" s="14" t="s">
        <v>983</v>
      </c>
      <c r="B11" s="14" t="s">
        <v>984</v>
      </c>
      <c r="C11" s="14" t="s">
        <v>971</v>
      </c>
      <c r="D11" s="6" t="s">
        <v>985</v>
      </c>
      <c r="E11" s="6" t="s">
        <v>986</v>
      </c>
    </row>
    <row r="12" customFormat="false" ht="30" hidden="false" customHeight="true" outlineLevel="0" collapsed="false">
      <c r="A12" s="14" t="s">
        <v>987</v>
      </c>
      <c r="B12" s="14" t="s">
        <v>988</v>
      </c>
      <c r="C12" s="14" t="s">
        <v>989</v>
      </c>
      <c r="D12" s="6" t="s">
        <v>990</v>
      </c>
      <c r="E12" s="6" t="s">
        <v>991</v>
      </c>
    </row>
    <row r="13" customFormat="false" ht="30" hidden="false" customHeight="true" outlineLevel="0" collapsed="false">
      <c r="A13" s="14" t="s">
        <v>992</v>
      </c>
      <c r="B13" s="14" t="s">
        <v>993</v>
      </c>
      <c r="C13" s="14" t="s">
        <v>994</v>
      </c>
      <c r="D13" s="6" t="s">
        <v>995</v>
      </c>
      <c r="E13" s="6" t="s">
        <v>996</v>
      </c>
    </row>
    <row r="14" customFormat="false" ht="30" hidden="false" customHeight="true" outlineLevel="0" collapsed="false">
      <c r="A14" s="14" t="s">
        <v>997</v>
      </c>
      <c r="B14" s="14" t="s">
        <v>998</v>
      </c>
      <c r="C14" s="14" t="s">
        <v>980</v>
      </c>
      <c r="D14" s="6" t="s">
        <v>999</v>
      </c>
      <c r="E14" s="6" t="s">
        <v>1000</v>
      </c>
    </row>
    <row r="15" customFormat="false" ht="30" hidden="false" customHeight="true" outlineLevel="0" collapsed="false">
      <c r="A15" s="14" t="s">
        <v>1001</v>
      </c>
      <c r="B15" s="14" t="s">
        <v>1002</v>
      </c>
      <c r="C15" s="14" t="s">
        <v>980</v>
      </c>
      <c r="D15" s="6" t="s">
        <v>1003</v>
      </c>
      <c r="E15" s="6" t="s">
        <v>1004</v>
      </c>
    </row>
    <row r="16" customFormat="false" ht="30" hidden="false" customHeight="true" outlineLevel="0" collapsed="false">
      <c r="A16" s="14" t="s">
        <v>1005</v>
      </c>
      <c r="B16" s="14" t="s">
        <v>1006</v>
      </c>
      <c r="C16" s="14" t="s">
        <v>971</v>
      </c>
      <c r="D16" s="6" t="s">
        <v>1007</v>
      </c>
      <c r="E16" s="6" t="s">
        <v>1008</v>
      </c>
    </row>
    <row r="17" customFormat="false" ht="30" hidden="false" customHeight="true" outlineLevel="0" collapsed="false">
      <c r="A17" s="14" t="s">
        <v>1009</v>
      </c>
      <c r="B17" s="14" t="s">
        <v>1010</v>
      </c>
      <c r="C17" s="14" t="s">
        <v>994</v>
      </c>
      <c r="D17" s="6" t="s">
        <v>1011</v>
      </c>
      <c r="E17" s="6" t="s">
        <v>1012</v>
      </c>
    </row>
    <row r="18" customFormat="false" ht="30" hidden="false" customHeight="true" outlineLevel="0" collapsed="false">
      <c r="A18" s="14" t="s">
        <v>1013</v>
      </c>
      <c r="B18" s="14" t="s">
        <v>1014</v>
      </c>
      <c r="C18" s="14" t="s">
        <v>994</v>
      </c>
      <c r="D18" s="6" t="s">
        <v>1015</v>
      </c>
      <c r="E18" s="6" t="s">
        <v>1016</v>
      </c>
    </row>
    <row r="19" customFormat="false" ht="30" hidden="false" customHeight="true" outlineLevel="0" collapsed="false">
      <c r="A19" s="14" t="s">
        <v>1017</v>
      </c>
      <c r="B19" s="14" t="s">
        <v>1018</v>
      </c>
      <c r="C19" s="14" t="s">
        <v>1019</v>
      </c>
      <c r="D19" s="6" t="s">
        <v>1020</v>
      </c>
      <c r="E19" s="6" t="s">
        <v>1021</v>
      </c>
    </row>
    <row r="22" customFormat="false" ht="17.35" hidden="false" customHeight="false" outlineLevel="0" collapsed="false">
      <c r="A22" s="1" t="s">
        <v>1022</v>
      </c>
    </row>
    <row r="23" customFormat="false" ht="25.5" hidden="false" customHeight="true" outlineLevel="0" collapsed="false">
      <c r="A23" s="3" t="s">
        <v>1023</v>
      </c>
      <c r="B23" s="3" t="s">
        <v>1024</v>
      </c>
      <c r="C23" s="3" t="s">
        <v>1025</v>
      </c>
      <c r="D23" s="3" t="s">
        <v>1026</v>
      </c>
      <c r="E23" s="3" t="s">
        <v>1027</v>
      </c>
    </row>
    <row r="24" customFormat="false" ht="25.5" hidden="false" customHeight="true" outlineLevel="0" collapsed="false">
      <c r="A24" s="14" t="s">
        <v>1028</v>
      </c>
      <c r="B24" s="6" t="s">
        <v>1029</v>
      </c>
      <c r="C24" s="6" t="s">
        <v>1030</v>
      </c>
      <c r="D24" s="6" t="s">
        <v>1031</v>
      </c>
      <c r="E24" s="6" t="s">
        <v>1032</v>
      </c>
    </row>
    <row r="25" customFormat="false" ht="25.5" hidden="false" customHeight="true" outlineLevel="0" collapsed="false">
      <c r="A25" s="14" t="s">
        <v>1033</v>
      </c>
      <c r="B25" s="6" t="s">
        <v>1034</v>
      </c>
      <c r="C25" s="6" t="s">
        <v>1035</v>
      </c>
      <c r="D25" s="6" t="s">
        <v>1036</v>
      </c>
      <c r="E25" s="6" t="s">
        <v>1037</v>
      </c>
    </row>
    <row r="26" customFormat="false" ht="25.5" hidden="false" customHeight="true" outlineLevel="0" collapsed="false">
      <c r="A26" s="14" t="s">
        <v>1038</v>
      </c>
      <c r="B26" s="6" t="s">
        <v>1039</v>
      </c>
      <c r="C26" s="6" t="s">
        <v>1040</v>
      </c>
      <c r="D26" s="6" t="s">
        <v>1041</v>
      </c>
      <c r="E26" s="6" t="s">
        <v>1042</v>
      </c>
    </row>
    <row r="27" customFormat="false" ht="25.5" hidden="false" customHeight="true" outlineLevel="0" collapsed="false">
      <c r="A27" s="14" t="s">
        <v>1043</v>
      </c>
      <c r="B27" s="6" t="s">
        <v>1044</v>
      </c>
      <c r="C27" s="6" t="s">
        <v>1045</v>
      </c>
      <c r="D27" s="6" t="s">
        <v>1046</v>
      </c>
      <c r="E27" s="6" t="s">
        <v>1047</v>
      </c>
    </row>
    <row r="28" customFormat="false" ht="25.5" hidden="false" customHeight="true" outlineLevel="0" collapsed="false">
      <c r="A28" s="14" t="s">
        <v>1048</v>
      </c>
      <c r="B28" s="6" t="s">
        <v>1049</v>
      </c>
      <c r="C28" s="6" t="s">
        <v>1050</v>
      </c>
      <c r="D28" s="6" t="s">
        <v>1046</v>
      </c>
      <c r="E28" s="6" t="s">
        <v>1051</v>
      </c>
    </row>
    <row r="31" customFormat="false" ht="17.35" hidden="false" customHeight="false" outlineLevel="0" collapsed="false">
      <c r="A31" s="1" t="s">
        <v>1052</v>
      </c>
    </row>
    <row r="32" customFormat="false" ht="27.75" hidden="false" customHeight="true" outlineLevel="0" collapsed="false">
      <c r="A32" s="3" t="s">
        <v>1053</v>
      </c>
      <c r="B32" s="3" t="s">
        <v>951</v>
      </c>
      <c r="C32" s="3" t="s">
        <v>1054</v>
      </c>
      <c r="D32" s="3" t="s">
        <v>1055</v>
      </c>
    </row>
    <row r="33" customFormat="false" ht="27.75" hidden="false" customHeight="true" outlineLevel="0" collapsed="false">
      <c r="A33" s="14" t="s">
        <v>1056</v>
      </c>
      <c r="B33" s="14" t="s">
        <v>1057</v>
      </c>
      <c r="C33" s="6" t="s">
        <v>1058</v>
      </c>
      <c r="D33" s="6" t="s">
        <v>1059</v>
      </c>
    </row>
    <row r="34" customFormat="false" ht="27.75" hidden="false" customHeight="true" outlineLevel="0" collapsed="false">
      <c r="A34" s="14" t="s">
        <v>1060</v>
      </c>
      <c r="B34" s="14" t="s">
        <v>1061</v>
      </c>
      <c r="C34" s="6" t="s">
        <v>1062</v>
      </c>
      <c r="D34" s="6" t="s">
        <v>1063</v>
      </c>
    </row>
    <row r="35" customFormat="false" ht="27.75" hidden="false" customHeight="true" outlineLevel="0" collapsed="false">
      <c r="A35" s="14" t="s">
        <v>1064</v>
      </c>
      <c r="B35" s="14" t="s">
        <v>1061</v>
      </c>
      <c r="C35" s="6" t="s">
        <v>1065</v>
      </c>
      <c r="D35" s="6" t="s">
        <v>1066</v>
      </c>
    </row>
    <row r="36" customFormat="false" ht="27.75" hidden="false" customHeight="true" outlineLevel="0" collapsed="false">
      <c r="A36" s="14" t="s">
        <v>1067</v>
      </c>
      <c r="B36" s="14" t="s">
        <v>1019</v>
      </c>
      <c r="C36" s="6" t="s">
        <v>1068</v>
      </c>
      <c r="D36" s="6" t="s">
        <v>1069</v>
      </c>
    </row>
    <row r="38" customFormat="false" ht="15" hidden="false" customHeight="true" outlineLevel="0" collapsed="false">
      <c r="A38" s="2" t="s">
        <v>1070</v>
      </c>
      <c r="B38" s="2"/>
      <c r="C38" s="2"/>
      <c r="D38" s="2"/>
      <c r="E38" s="2"/>
    </row>
    <row r="39" customFormat="false" ht="15" hidden="false" customHeight="false" outlineLevel="0" collapsed="false">
      <c r="A39" s="2"/>
      <c r="B39" s="2"/>
      <c r="C39" s="2"/>
      <c r="D39" s="2"/>
      <c r="E39" s="2"/>
    </row>
  </sheetData>
  <mergeCells count="1">
    <mergeCell ref="A38:E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92"/>
  </cols>
  <sheetData>
    <row r="1" customFormat="false" ht="17.35" hidden="false" customHeight="false" outlineLevel="0" collapsed="false">
      <c r="A1" s="1" t="s">
        <v>1071</v>
      </c>
    </row>
    <row r="2" customFormat="false" ht="30" hidden="false" customHeight="true" outlineLevel="0" collapsed="false">
      <c r="A2" s="2" t="s">
        <v>1072</v>
      </c>
      <c r="B2" s="2"/>
    </row>
    <row r="4" customFormat="false" ht="15" hidden="false" customHeight="false" outlineLevel="0" collapsed="false">
      <c r="A4" s="3" t="s">
        <v>1073</v>
      </c>
      <c r="B4" s="3" t="s">
        <v>1074</v>
      </c>
    </row>
    <row r="5" customFormat="false" ht="168" hidden="false" customHeight="true" outlineLevel="0" collapsed="false">
      <c r="A5" s="15" t="s">
        <v>1075</v>
      </c>
      <c r="B5" s="16" t="s">
        <v>1076</v>
      </c>
    </row>
    <row r="6" customFormat="false" ht="195.75" hidden="false" customHeight="true" outlineLevel="0" collapsed="false">
      <c r="A6" s="14" t="s">
        <v>1077</v>
      </c>
      <c r="B6" s="17" t="s">
        <v>1078</v>
      </c>
    </row>
    <row r="7" customFormat="false" ht="195.75" hidden="false" customHeight="true" outlineLevel="0" collapsed="false">
      <c r="A7" s="14" t="s">
        <v>1079</v>
      </c>
      <c r="B7" s="17" t="s">
        <v>1080</v>
      </c>
    </row>
    <row r="8" customFormat="false" ht="181.5" hidden="false" customHeight="true" outlineLevel="0" collapsed="false">
      <c r="A8" s="14" t="s">
        <v>1081</v>
      </c>
      <c r="B8" s="17" t="s">
        <v>1082</v>
      </c>
    </row>
    <row r="9" customFormat="false" ht="181.5" hidden="false" customHeight="true" outlineLevel="0" collapsed="false">
      <c r="A9" s="14" t="s">
        <v>1083</v>
      </c>
      <c r="B9" s="17" t="s">
        <v>1084</v>
      </c>
    </row>
    <row r="10" customFormat="false" ht="168" hidden="false" customHeight="true" outlineLevel="0" collapsed="false">
      <c r="A10" s="14" t="s">
        <v>1085</v>
      </c>
      <c r="B10" s="17" t="s">
        <v>1086</v>
      </c>
    </row>
    <row r="11" customFormat="false" ht="181.5" hidden="false" customHeight="true" outlineLevel="0" collapsed="false">
      <c r="A11" s="18" t="s">
        <v>1087</v>
      </c>
      <c r="B11" s="19" t="s">
        <v>1088</v>
      </c>
    </row>
    <row r="12" customFormat="false" ht="223.5" hidden="false" customHeight="true" outlineLevel="0" collapsed="false">
      <c r="A12" s="14" t="s">
        <v>1089</v>
      </c>
      <c r="B12" s="17" t="s">
        <v>1090</v>
      </c>
    </row>
    <row r="13" customFormat="false" ht="252" hidden="false" customHeight="true" outlineLevel="0" collapsed="false">
      <c r="A13" s="14" t="s">
        <v>1091</v>
      </c>
      <c r="B13" s="17" t="s">
        <v>1092</v>
      </c>
    </row>
    <row r="14" customFormat="false" ht="153.75" hidden="false" customHeight="true" outlineLevel="0" collapsed="false">
      <c r="A14" s="14" t="s">
        <v>1093</v>
      </c>
      <c r="B14" s="17" t="s">
        <v>1094</v>
      </c>
    </row>
    <row r="15" customFormat="false" ht="210" hidden="false" customHeight="true" outlineLevel="0" collapsed="false">
      <c r="A15" s="14" t="s">
        <v>1095</v>
      </c>
      <c r="B15" s="17" t="s">
        <v>1096</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3" min="3" style="0" width="11"/>
    <col collapsed="false" customWidth="true" hidden="false" outlineLevel="0" max="4" min="4" style="0" width="15"/>
    <col collapsed="false" customWidth="true" hidden="false" outlineLevel="0" max="5" min="5" style="0" width="62"/>
    <col collapsed="false" customWidth="true" hidden="false" outlineLevel="0" max="6" min="6" style="0" width="20"/>
    <col collapsed="false" customWidth="true" hidden="false" outlineLevel="0" max="7" min="7" style="0" width="10"/>
  </cols>
  <sheetData>
    <row r="1" customFormat="false" ht="17.35" hidden="false" customHeight="false" outlineLevel="0" collapsed="false">
      <c r="A1" s="1" t="s">
        <v>1097</v>
      </c>
    </row>
    <row r="2" customFormat="false" ht="30" hidden="false" customHeight="true" outlineLevel="0" collapsed="false">
      <c r="A2" s="2" t="s">
        <v>1098</v>
      </c>
      <c r="B2" s="2"/>
      <c r="C2" s="2"/>
      <c r="D2" s="2"/>
      <c r="E2" s="2"/>
      <c r="F2" s="2"/>
      <c r="G2" s="2"/>
    </row>
    <row r="4" customFormat="false" ht="27.75" hidden="false" customHeight="true" outlineLevel="0" collapsed="false">
      <c r="A4" s="3" t="s">
        <v>1099</v>
      </c>
      <c r="B4" s="3" t="s">
        <v>1100</v>
      </c>
      <c r="C4" s="3" t="s">
        <v>1101</v>
      </c>
      <c r="D4" s="3" t="s">
        <v>1102</v>
      </c>
      <c r="E4" s="3" t="s">
        <v>1103</v>
      </c>
      <c r="F4" s="3" t="s">
        <v>1104</v>
      </c>
      <c r="G4" s="3" t="s">
        <v>1105</v>
      </c>
    </row>
    <row r="5" customFormat="false" ht="27.75" hidden="false" customHeight="true" outlineLevel="0" collapsed="false">
      <c r="A5" s="20" t="s">
        <v>3</v>
      </c>
      <c r="B5" s="20" t="s">
        <v>1106</v>
      </c>
      <c r="C5" s="20" t="s">
        <v>3</v>
      </c>
      <c r="D5" s="20" t="s">
        <v>1107</v>
      </c>
      <c r="E5" s="20" t="s">
        <v>1021</v>
      </c>
      <c r="F5" s="20" t="s">
        <v>1108</v>
      </c>
      <c r="G5" s="20" t="s">
        <v>1109</v>
      </c>
    </row>
    <row r="6" customFormat="false" ht="27.75" hidden="false" customHeight="true" outlineLevel="0" collapsed="false">
      <c r="A6" s="20" t="s">
        <v>4</v>
      </c>
      <c r="B6" s="20" t="s">
        <v>1110</v>
      </c>
      <c r="C6" s="20" t="s">
        <v>3</v>
      </c>
      <c r="D6" s="20" t="s">
        <v>1111</v>
      </c>
      <c r="E6" s="20" t="s">
        <v>1112</v>
      </c>
      <c r="F6" s="20" t="s">
        <v>1108</v>
      </c>
      <c r="G6" s="20" t="s">
        <v>1109</v>
      </c>
    </row>
    <row r="7" customFormat="false" ht="27.75" hidden="false" customHeight="true" outlineLevel="0" collapsed="false">
      <c r="A7" s="20" t="s">
        <v>1113</v>
      </c>
      <c r="B7" s="20" t="s">
        <v>1114</v>
      </c>
      <c r="C7" s="20" t="s">
        <v>3</v>
      </c>
      <c r="D7" s="20" t="s">
        <v>1111</v>
      </c>
      <c r="E7" s="20" t="s">
        <v>1115</v>
      </c>
      <c r="F7" s="20" t="s">
        <v>1108</v>
      </c>
      <c r="G7" s="20" t="s">
        <v>1109</v>
      </c>
    </row>
    <row r="8" customFormat="false" ht="27.75" hidden="false" customHeight="true" outlineLevel="0" collapsed="false">
      <c r="A8" s="20" t="s">
        <v>6</v>
      </c>
      <c r="B8" s="20" t="s">
        <v>1116</v>
      </c>
      <c r="C8" s="20" t="s">
        <v>3</v>
      </c>
      <c r="D8" s="20" t="s">
        <v>1111</v>
      </c>
      <c r="E8" s="20" t="s">
        <v>1117</v>
      </c>
      <c r="F8" s="20" t="s">
        <v>1108</v>
      </c>
      <c r="G8" s="20" t="s">
        <v>1109</v>
      </c>
    </row>
    <row r="9" customFormat="false" ht="27.75" hidden="false" customHeight="true" outlineLevel="0" collapsed="false">
      <c r="A9" s="20" t="s">
        <v>1118</v>
      </c>
      <c r="B9" s="20" t="s">
        <v>1119</v>
      </c>
      <c r="C9" s="20" t="s">
        <v>3</v>
      </c>
      <c r="D9" s="20" t="s">
        <v>1120</v>
      </c>
      <c r="E9" s="20" t="s">
        <v>1121</v>
      </c>
      <c r="F9" s="20" t="s">
        <v>1108</v>
      </c>
      <c r="G9" s="20" t="s">
        <v>1109</v>
      </c>
    </row>
    <row r="10" customFormat="false" ht="27.75" hidden="false" customHeight="true" outlineLevel="0" collapsed="false">
      <c r="A10" s="6" t="s">
        <v>7</v>
      </c>
      <c r="B10" s="6" t="s">
        <v>1122</v>
      </c>
      <c r="C10" s="6" t="s">
        <v>3</v>
      </c>
      <c r="D10" s="6" t="s">
        <v>1107</v>
      </c>
      <c r="E10" s="6" t="s">
        <v>1123</v>
      </c>
      <c r="F10" s="6" t="s">
        <v>1108</v>
      </c>
      <c r="G10" s="6" t="s">
        <v>1124</v>
      </c>
    </row>
    <row r="11" customFormat="false" ht="27.75" hidden="false" customHeight="true" outlineLevel="0" collapsed="false">
      <c r="A11" s="20" t="s">
        <v>8</v>
      </c>
      <c r="B11" s="20" t="s">
        <v>1125</v>
      </c>
      <c r="C11" s="20" t="s">
        <v>3</v>
      </c>
      <c r="D11" s="20" t="s">
        <v>1111</v>
      </c>
      <c r="E11" s="20" t="s">
        <v>1126</v>
      </c>
      <c r="F11" s="20" t="s">
        <v>1108</v>
      </c>
      <c r="G11" s="20" t="s">
        <v>1109</v>
      </c>
    </row>
    <row r="12" customFormat="false" ht="27.75" hidden="false" customHeight="true" outlineLevel="0" collapsed="false">
      <c r="A12" s="6" t="s">
        <v>5</v>
      </c>
      <c r="B12" s="6" t="s">
        <v>1127</v>
      </c>
      <c r="C12" s="6" t="s">
        <v>3</v>
      </c>
      <c r="D12" s="6" t="s">
        <v>1128</v>
      </c>
      <c r="E12" s="6" t="s">
        <v>1129</v>
      </c>
      <c r="F12" s="6" t="s">
        <v>1108</v>
      </c>
      <c r="G12" s="6" t="s">
        <v>1124</v>
      </c>
    </row>
    <row r="13" customFormat="false" ht="27.75" hidden="false" customHeight="true" outlineLevel="0" collapsed="false">
      <c r="A13" s="6" t="s">
        <v>1130</v>
      </c>
      <c r="B13" s="6" t="s">
        <v>1131</v>
      </c>
      <c r="C13" s="6" t="s">
        <v>3</v>
      </c>
      <c r="D13" s="6" t="s">
        <v>1132</v>
      </c>
      <c r="E13" s="6" t="s">
        <v>1133</v>
      </c>
      <c r="F13" s="6" t="s">
        <v>1134</v>
      </c>
      <c r="G13" s="6" t="s">
        <v>1135</v>
      </c>
    </row>
    <row r="14" customFormat="false" ht="27.75" hidden="false" customHeight="true" outlineLevel="0" collapsed="false">
      <c r="A14" s="6" t="s">
        <v>1136</v>
      </c>
      <c r="B14" s="6" t="s">
        <v>1137</v>
      </c>
      <c r="C14" s="6" t="s">
        <v>3</v>
      </c>
      <c r="D14" s="6" t="s">
        <v>1138</v>
      </c>
      <c r="E14" s="6" t="s">
        <v>1139</v>
      </c>
      <c r="F14" s="6" t="s">
        <v>1140</v>
      </c>
      <c r="G14" s="6" t="s">
        <v>1124</v>
      </c>
    </row>
    <row r="15" customFormat="false" ht="27.75" hidden="false" customHeight="true" outlineLevel="0" collapsed="false">
      <c r="A15" s="6" t="s">
        <v>1141</v>
      </c>
      <c r="B15" s="6" t="s">
        <v>1142</v>
      </c>
      <c r="C15" s="6" t="s">
        <v>3</v>
      </c>
      <c r="D15" s="6" t="s">
        <v>1138</v>
      </c>
      <c r="E15" s="6" t="s">
        <v>1139</v>
      </c>
      <c r="F15" s="6" t="s">
        <v>1143</v>
      </c>
      <c r="G15" s="6" t="s">
        <v>1124</v>
      </c>
    </row>
    <row r="16" customFormat="false" ht="27.75" hidden="false" customHeight="true" outlineLevel="0" collapsed="false">
      <c r="A16" s="6" t="s">
        <v>1144</v>
      </c>
      <c r="B16" s="6" t="s">
        <v>1145</v>
      </c>
      <c r="C16" s="6" t="s">
        <v>3</v>
      </c>
      <c r="D16" s="6" t="s">
        <v>1138</v>
      </c>
      <c r="E16" s="6" t="s">
        <v>1139</v>
      </c>
      <c r="F16" s="6" t="s">
        <v>1134</v>
      </c>
      <c r="G16" s="6" t="s">
        <v>1124</v>
      </c>
    </row>
    <row r="17" customFormat="false" ht="27.75" hidden="false" customHeight="true" outlineLevel="0" collapsed="false">
      <c r="A17" s="6" t="s">
        <v>1146</v>
      </c>
      <c r="B17" s="6" t="s">
        <v>1147</v>
      </c>
      <c r="C17" s="6" t="s">
        <v>3</v>
      </c>
      <c r="D17" s="6" t="s">
        <v>1138</v>
      </c>
      <c r="E17" s="6" t="s">
        <v>1139</v>
      </c>
      <c r="F17" s="6" t="s">
        <v>1148</v>
      </c>
      <c r="G17" s="6" t="s">
        <v>1124</v>
      </c>
    </row>
    <row r="18" customFormat="false" ht="27.75" hidden="false" customHeight="true" outlineLevel="0" collapsed="false">
      <c r="A18" s="6" t="s">
        <v>1113</v>
      </c>
      <c r="B18" s="6" t="s">
        <v>1149</v>
      </c>
      <c r="C18" s="6" t="s">
        <v>3</v>
      </c>
      <c r="D18" s="6" t="s">
        <v>1138</v>
      </c>
      <c r="E18" s="6" t="s">
        <v>1150</v>
      </c>
      <c r="F18" s="6" t="s">
        <v>1134</v>
      </c>
      <c r="G18" s="6" t="s">
        <v>1135</v>
      </c>
    </row>
    <row r="19" customFormat="false" ht="27.75" hidden="false" customHeight="true" outlineLevel="0" collapsed="false">
      <c r="A19" s="6" t="s">
        <v>1151</v>
      </c>
      <c r="B19" s="6" t="s">
        <v>1152</v>
      </c>
      <c r="C19" s="6" t="s">
        <v>3</v>
      </c>
      <c r="D19" s="6" t="s">
        <v>1138</v>
      </c>
      <c r="E19" s="6" t="s">
        <v>1153</v>
      </c>
      <c r="F19" s="6" t="s">
        <v>1134</v>
      </c>
      <c r="G19" s="6" t="s">
        <v>1124</v>
      </c>
    </row>
    <row r="20" customFormat="false" ht="27.75" hidden="false" customHeight="true" outlineLevel="0" collapsed="false">
      <c r="A20" s="6" t="s">
        <v>1154</v>
      </c>
      <c r="B20" s="6" t="s">
        <v>1155</v>
      </c>
      <c r="C20" s="6" t="s">
        <v>3</v>
      </c>
      <c r="D20" s="6" t="s">
        <v>1120</v>
      </c>
      <c r="E20" s="6" t="s">
        <v>1156</v>
      </c>
      <c r="F20" s="6" t="s">
        <v>1134</v>
      </c>
      <c r="G20" s="6" t="s">
        <v>1124</v>
      </c>
    </row>
    <row r="21" customFormat="false" ht="27.75" hidden="false" customHeight="true" outlineLevel="0" collapsed="false">
      <c r="A21" s="6" t="s">
        <v>1157</v>
      </c>
      <c r="B21" s="6" t="s">
        <v>1158</v>
      </c>
      <c r="C21" s="6" t="s">
        <v>3</v>
      </c>
      <c r="D21" s="6" t="s">
        <v>1111</v>
      </c>
      <c r="E21" s="6" t="s">
        <v>1159</v>
      </c>
      <c r="F21" s="6" t="s">
        <v>1134</v>
      </c>
      <c r="G21" s="6" t="s">
        <v>1124</v>
      </c>
    </row>
    <row r="22" customFormat="false" ht="27.75" hidden="false" customHeight="true" outlineLevel="0" collapsed="false">
      <c r="A22" s="6" t="s">
        <v>1160</v>
      </c>
      <c r="B22" s="6" t="s">
        <v>1161</v>
      </c>
      <c r="C22" s="6" t="s">
        <v>3</v>
      </c>
      <c r="D22" s="6" t="s">
        <v>1162</v>
      </c>
      <c r="E22" s="6" t="s">
        <v>1163</v>
      </c>
      <c r="F22" s="6" t="s">
        <v>1134</v>
      </c>
      <c r="G22" s="6" t="s">
        <v>1135</v>
      </c>
    </row>
    <row r="23" customFormat="false" ht="27.75" hidden="false" customHeight="true" outlineLevel="0" collapsed="false">
      <c r="A23" s="6" t="s">
        <v>1113</v>
      </c>
      <c r="B23" s="6" t="s">
        <v>1164</v>
      </c>
      <c r="C23" s="6" t="s">
        <v>3</v>
      </c>
      <c r="D23" s="6" t="s">
        <v>1138</v>
      </c>
      <c r="E23" s="6" t="s">
        <v>1165</v>
      </c>
      <c r="F23" s="6" t="s">
        <v>1134</v>
      </c>
      <c r="G23" s="6" t="s">
        <v>1135</v>
      </c>
    </row>
    <row r="24" customFormat="false" ht="27.75" hidden="false" customHeight="true" outlineLevel="0" collapsed="false">
      <c r="A24" s="6" t="s">
        <v>1166</v>
      </c>
      <c r="B24" s="6" t="s">
        <v>1167</v>
      </c>
      <c r="C24" s="6" t="s">
        <v>3</v>
      </c>
      <c r="D24" s="6" t="s">
        <v>1128</v>
      </c>
      <c r="E24" s="6" t="s">
        <v>1168</v>
      </c>
      <c r="F24" s="6" t="s">
        <v>1134</v>
      </c>
      <c r="G24" s="6" t="s">
        <v>1124</v>
      </c>
    </row>
    <row r="25" customFormat="false" ht="27.75" hidden="false" customHeight="true" outlineLevel="0" collapsed="false">
      <c r="A25" s="6" t="s">
        <v>1169</v>
      </c>
      <c r="B25" s="6" t="s">
        <v>1170</v>
      </c>
      <c r="C25" s="6" t="s">
        <v>3</v>
      </c>
      <c r="D25" s="6" t="s">
        <v>1171</v>
      </c>
      <c r="E25" s="6" t="s">
        <v>1171</v>
      </c>
      <c r="F25" s="6" t="s">
        <v>1134</v>
      </c>
      <c r="G25" s="6" t="s">
        <v>1124</v>
      </c>
    </row>
    <row r="26" customFormat="false" ht="27.75" hidden="false" customHeight="true" outlineLevel="0" collapsed="false">
      <c r="A26" s="20" t="s">
        <v>31</v>
      </c>
      <c r="B26" s="20" t="s">
        <v>1172</v>
      </c>
      <c r="C26" s="20" t="s">
        <v>3</v>
      </c>
      <c r="D26" s="20" t="s">
        <v>1138</v>
      </c>
      <c r="E26" s="20" t="s">
        <v>1173</v>
      </c>
      <c r="F26" s="20" t="s">
        <v>1108</v>
      </c>
      <c r="G26" s="20" t="s">
        <v>1109</v>
      </c>
    </row>
    <row r="27" customFormat="false" ht="27.75" hidden="false" customHeight="true" outlineLevel="0" collapsed="false">
      <c r="A27" s="20" t="s">
        <v>32</v>
      </c>
      <c r="B27" s="20" t="s">
        <v>1174</v>
      </c>
      <c r="C27" s="20" t="s">
        <v>3</v>
      </c>
      <c r="D27" s="20" t="s">
        <v>1111</v>
      </c>
      <c r="E27" s="20" t="s">
        <v>1175</v>
      </c>
      <c r="F27" s="20" t="s">
        <v>1108</v>
      </c>
      <c r="G27" s="20" t="s">
        <v>1109</v>
      </c>
    </row>
    <row r="28" customFormat="false" ht="27.75" hidden="false" customHeight="true" outlineLevel="0" collapsed="false">
      <c r="A28" s="6" t="s">
        <v>1176</v>
      </c>
      <c r="B28" s="6" t="s">
        <v>1177</v>
      </c>
      <c r="C28" s="6" t="s">
        <v>3</v>
      </c>
      <c r="D28" s="6" t="s">
        <v>1138</v>
      </c>
      <c r="E28" s="6" t="s">
        <v>1178</v>
      </c>
      <c r="F28" s="6" t="s">
        <v>1108</v>
      </c>
      <c r="G28" s="6" t="s">
        <v>1124</v>
      </c>
    </row>
    <row r="29" customFormat="false" ht="27.75" hidden="false" customHeight="true" outlineLevel="0" collapsed="false">
      <c r="A29" s="6" t="s">
        <v>1179</v>
      </c>
      <c r="B29" s="6" t="s">
        <v>1180</v>
      </c>
      <c r="C29" s="6" t="s">
        <v>3</v>
      </c>
      <c r="D29" s="6" t="s">
        <v>1138</v>
      </c>
      <c r="E29" s="6" t="s">
        <v>1181</v>
      </c>
      <c r="F29" s="6" t="s">
        <v>1134</v>
      </c>
      <c r="G29" s="6" t="s">
        <v>1124</v>
      </c>
    </row>
    <row r="30" customFormat="false" ht="27.75" hidden="false" customHeight="true" outlineLevel="0" collapsed="false">
      <c r="A30" s="6" t="s">
        <v>1179</v>
      </c>
      <c r="B30" s="6" t="s">
        <v>1182</v>
      </c>
      <c r="C30" s="6" t="s">
        <v>3</v>
      </c>
      <c r="D30" s="6" t="s">
        <v>1138</v>
      </c>
      <c r="E30" s="6" t="s">
        <v>1181</v>
      </c>
      <c r="F30" s="6" t="s">
        <v>1134</v>
      </c>
      <c r="G30" s="6" t="s">
        <v>1135</v>
      </c>
    </row>
    <row r="31" customFormat="false" ht="27.75" hidden="false" customHeight="true" outlineLevel="0" collapsed="false">
      <c r="A31" s="6" t="s">
        <v>1176</v>
      </c>
      <c r="B31" s="6" t="s">
        <v>1183</v>
      </c>
      <c r="C31" s="6" t="s">
        <v>3</v>
      </c>
      <c r="D31" s="6" t="s">
        <v>1138</v>
      </c>
      <c r="E31" s="6" t="s">
        <v>1184</v>
      </c>
      <c r="F31" s="6" t="s">
        <v>1108</v>
      </c>
      <c r="G31" s="6" t="s">
        <v>1124</v>
      </c>
    </row>
    <row r="32" customFormat="false" ht="27.75" hidden="false" customHeight="true" outlineLevel="0" collapsed="false">
      <c r="A32" s="20" t="s">
        <v>1185</v>
      </c>
      <c r="B32" s="20" t="s">
        <v>1186</v>
      </c>
      <c r="C32" s="20" t="s">
        <v>3</v>
      </c>
      <c r="D32" s="20" t="s">
        <v>1187</v>
      </c>
      <c r="E32" s="20" t="s">
        <v>1188</v>
      </c>
      <c r="F32" s="20" t="s">
        <v>1108</v>
      </c>
      <c r="G32" s="20" t="s">
        <v>1109</v>
      </c>
    </row>
    <row r="33" customFormat="false" ht="27.75" hidden="false" customHeight="true" outlineLevel="0" collapsed="false">
      <c r="A33" s="20" t="s">
        <v>1185</v>
      </c>
      <c r="B33" s="20" t="s">
        <v>1189</v>
      </c>
      <c r="C33" s="20" t="s">
        <v>3</v>
      </c>
      <c r="D33" s="20" t="s">
        <v>1187</v>
      </c>
      <c r="E33" s="20" t="s">
        <v>1190</v>
      </c>
      <c r="F33" s="20" t="s">
        <v>1108</v>
      </c>
      <c r="G33" s="20" t="s">
        <v>1109</v>
      </c>
    </row>
    <row r="34" customFormat="false" ht="27.75" hidden="false" customHeight="true" outlineLevel="0" collapsed="false">
      <c r="A34" s="6" t="s">
        <v>1191</v>
      </c>
      <c r="B34" s="6" t="s">
        <v>1192</v>
      </c>
      <c r="C34" s="6" t="s">
        <v>3</v>
      </c>
      <c r="D34" s="6" t="s">
        <v>1111</v>
      </c>
      <c r="E34" s="6" t="s">
        <v>1193</v>
      </c>
      <c r="F34" s="6" t="s">
        <v>1194</v>
      </c>
      <c r="G34" s="6" t="s">
        <v>1124</v>
      </c>
    </row>
    <row r="35" customFormat="false" ht="27.75" hidden="false" customHeight="true" outlineLevel="0" collapsed="false">
      <c r="A35" s="6" t="s">
        <v>11</v>
      </c>
      <c r="B35" s="6" t="s">
        <v>1195</v>
      </c>
      <c r="C35" s="6" t="s">
        <v>1196</v>
      </c>
      <c r="D35" s="6" t="s">
        <v>1111</v>
      </c>
      <c r="E35" s="6" t="s">
        <v>1197</v>
      </c>
      <c r="F35" s="6" t="s">
        <v>1108</v>
      </c>
      <c r="G35" s="6" t="s">
        <v>1124</v>
      </c>
    </row>
    <row r="36" customFormat="false" ht="27.75" hidden="false" customHeight="true" outlineLevel="0" collapsed="false">
      <c r="A36" s="20" t="s">
        <v>12</v>
      </c>
      <c r="B36" s="20" t="s">
        <v>1198</v>
      </c>
      <c r="C36" s="20" t="s">
        <v>1196</v>
      </c>
      <c r="D36" s="20" t="s">
        <v>1120</v>
      </c>
      <c r="E36" s="20" t="s">
        <v>1199</v>
      </c>
      <c r="F36" s="20" t="s">
        <v>1108</v>
      </c>
      <c r="G36" s="20" t="s">
        <v>1109</v>
      </c>
    </row>
    <row r="37" customFormat="false" ht="27.75" hidden="false" customHeight="true" outlineLevel="0" collapsed="false">
      <c r="A37" s="20" t="s">
        <v>1200</v>
      </c>
      <c r="B37" s="20" t="s">
        <v>1201</v>
      </c>
      <c r="C37" s="20" t="s">
        <v>1196</v>
      </c>
      <c r="D37" s="20" t="s">
        <v>1111</v>
      </c>
      <c r="E37" s="20" t="s">
        <v>1202</v>
      </c>
      <c r="F37" s="20" t="s">
        <v>1108</v>
      </c>
      <c r="G37" s="20" t="s">
        <v>1109</v>
      </c>
    </row>
    <row r="38" customFormat="false" ht="27.75" hidden="false" customHeight="true" outlineLevel="0" collapsed="false">
      <c r="A38" s="20" t="s">
        <v>13</v>
      </c>
      <c r="B38" s="20" t="s">
        <v>1203</v>
      </c>
      <c r="C38" s="20" t="s">
        <v>1204</v>
      </c>
      <c r="D38" s="20" t="s">
        <v>1107</v>
      </c>
      <c r="E38" s="20" t="s">
        <v>1205</v>
      </c>
      <c r="F38" s="20" t="s">
        <v>1108</v>
      </c>
      <c r="G38" s="20" t="s">
        <v>1109</v>
      </c>
    </row>
    <row r="39" customFormat="false" ht="27.75" hidden="false" customHeight="true" outlineLevel="0" collapsed="false">
      <c r="A39" s="20" t="s">
        <v>1113</v>
      </c>
      <c r="B39" s="20" t="s">
        <v>1206</v>
      </c>
      <c r="C39" s="20" t="s">
        <v>1204</v>
      </c>
      <c r="D39" s="20" t="s">
        <v>1111</v>
      </c>
      <c r="E39" s="20" t="s">
        <v>1207</v>
      </c>
      <c r="F39" s="20" t="s">
        <v>1108</v>
      </c>
      <c r="G39" s="20" t="s">
        <v>1109</v>
      </c>
    </row>
    <row r="40" customFormat="false" ht="27.75" hidden="false" customHeight="true" outlineLevel="0" collapsed="false">
      <c r="A40" s="6" t="s">
        <v>1113</v>
      </c>
      <c r="B40" s="6" t="s">
        <v>1208</v>
      </c>
      <c r="C40" s="6" t="s">
        <v>1204</v>
      </c>
      <c r="D40" s="6" t="s">
        <v>1111</v>
      </c>
      <c r="E40" s="6" t="s">
        <v>1209</v>
      </c>
      <c r="F40" s="6" t="s">
        <v>1108</v>
      </c>
      <c r="G40" s="6" t="s">
        <v>1124</v>
      </c>
    </row>
    <row r="41" customFormat="false" ht="27.75" hidden="false" customHeight="true" outlineLevel="0" collapsed="false">
      <c r="A41" s="6" t="s">
        <v>1210</v>
      </c>
      <c r="B41" s="6" t="s">
        <v>1211</v>
      </c>
      <c r="C41" s="6" t="s">
        <v>1204</v>
      </c>
      <c r="D41" s="6" t="s">
        <v>1138</v>
      </c>
      <c r="E41" s="6" t="s">
        <v>1212</v>
      </c>
      <c r="F41" s="6" t="s">
        <v>1108</v>
      </c>
      <c r="G41" s="6" t="s">
        <v>1124</v>
      </c>
    </row>
    <row r="42" customFormat="false" ht="27.75" hidden="false" customHeight="true" outlineLevel="0" collapsed="false">
      <c r="A42" s="6" t="s">
        <v>1113</v>
      </c>
      <c r="B42" s="6" t="s">
        <v>1213</v>
      </c>
      <c r="C42" s="6" t="s">
        <v>1204</v>
      </c>
      <c r="D42" s="6" t="s">
        <v>1111</v>
      </c>
      <c r="E42" s="6" t="s">
        <v>1214</v>
      </c>
      <c r="F42" s="6" t="s">
        <v>1108</v>
      </c>
      <c r="G42" s="6" t="s">
        <v>1124</v>
      </c>
    </row>
    <row r="43" customFormat="false" ht="27.75" hidden="false" customHeight="true" outlineLevel="0" collapsed="false">
      <c r="A43" s="20" t="s">
        <v>1185</v>
      </c>
      <c r="B43" s="20" t="s">
        <v>1215</v>
      </c>
      <c r="C43" s="20" t="s">
        <v>1204</v>
      </c>
      <c r="D43" s="20" t="s">
        <v>1111</v>
      </c>
      <c r="E43" s="20" t="s">
        <v>1216</v>
      </c>
      <c r="F43" s="20" t="s">
        <v>1108</v>
      </c>
      <c r="G43" s="20" t="s">
        <v>1109</v>
      </c>
    </row>
    <row r="44" customFormat="false" ht="27.75" hidden="false" customHeight="true" outlineLevel="0" collapsed="false">
      <c r="A44" s="6" t="s">
        <v>1217</v>
      </c>
      <c r="B44" s="6" t="s">
        <v>1218</v>
      </c>
      <c r="C44" s="6" t="s">
        <v>1204</v>
      </c>
      <c r="D44" s="6" t="s">
        <v>1138</v>
      </c>
      <c r="E44" s="6" t="s">
        <v>1219</v>
      </c>
      <c r="F44" s="6" t="s">
        <v>1134</v>
      </c>
      <c r="G44" s="6" t="s">
        <v>1124</v>
      </c>
    </row>
    <row r="46" customFormat="false" ht="15" hidden="false" customHeight="false" outlineLevel="0" collapsed="false">
      <c r="A46" s="13" t="s">
        <v>1220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8"/>
    <col collapsed="false" customWidth="true" hidden="false" outlineLevel="0" max="3" min="3" style="0" width="24"/>
    <col collapsed="false" customWidth="true" hidden="false" outlineLevel="0" max="4" min="4" style="0" width="30"/>
    <col collapsed="false" customWidth="true" hidden="false" outlineLevel="0" max="5" min="5" style="0" width="54"/>
  </cols>
  <sheetData>
    <row r="1" customFormat="false" ht="17.35" hidden="false" customHeight="false" outlineLevel="0" collapsed="false">
      <c r="A1" s="1" t="s">
        <v>1221</v>
      </c>
    </row>
    <row r="2" customFormat="false" ht="31.5" hidden="false" customHeight="true" outlineLevel="0" collapsed="false">
      <c r="A2" s="2" t="s">
        <v>1222</v>
      </c>
      <c r="B2" s="2"/>
      <c r="C2" s="2"/>
      <c r="D2" s="2"/>
      <c r="E2" s="2"/>
    </row>
    <row r="4" customFormat="false" ht="27.75" hidden="false" customHeight="true" outlineLevel="0" collapsed="false">
      <c r="A4" s="3" t="s">
        <v>1223</v>
      </c>
      <c r="B4" s="3" t="s">
        <v>1224</v>
      </c>
      <c r="C4" s="3" t="s">
        <v>4</v>
      </c>
      <c r="D4" s="3" t="s">
        <v>1225</v>
      </c>
      <c r="E4" s="3" t="s">
        <v>1226</v>
      </c>
    </row>
    <row r="5" customFormat="false" ht="27.75" hidden="false" customHeight="true" outlineLevel="0" collapsed="false">
      <c r="A5" s="6" t="s">
        <v>1227</v>
      </c>
      <c r="B5" s="6" t="s">
        <v>1228</v>
      </c>
      <c r="C5" s="6" t="s">
        <v>118</v>
      </c>
      <c r="D5" s="6" t="s">
        <v>1229</v>
      </c>
      <c r="E5" s="6" t="s">
        <v>1230</v>
      </c>
    </row>
    <row r="6" customFormat="false" ht="27.75" hidden="false" customHeight="true" outlineLevel="0" collapsed="false">
      <c r="A6" s="6" t="s">
        <v>1231</v>
      </c>
      <c r="B6" s="6" t="s">
        <v>1232</v>
      </c>
      <c r="C6" s="6" t="s">
        <v>1233</v>
      </c>
      <c r="D6" s="6" t="s">
        <v>1229</v>
      </c>
      <c r="E6" s="6" t="s">
        <v>1234</v>
      </c>
    </row>
    <row r="7" customFormat="false" ht="27.75" hidden="false" customHeight="true" outlineLevel="0" collapsed="false">
      <c r="A7" s="6" t="s">
        <v>375</v>
      </c>
      <c r="B7" s="6" t="s">
        <v>1235</v>
      </c>
      <c r="C7" s="6" t="s">
        <v>1236</v>
      </c>
      <c r="D7" s="6" t="s">
        <v>1237</v>
      </c>
      <c r="E7" s="6" t="s">
        <v>1234</v>
      </c>
    </row>
    <row r="8" customFormat="false" ht="27.75" hidden="false" customHeight="true" outlineLevel="0" collapsed="false">
      <c r="A8" s="6" t="s">
        <v>1238</v>
      </c>
      <c r="B8" s="6" t="s">
        <v>1235</v>
      </c>
      <c r="C8" s="6" t="s">
        <v>1239</v>
      </c>
      <c r="D8" s="6" t="s">
        <v>1240</v>
      </c>
      <c r="E8" s="6" t="s">
        <v>1241</v>
      </c>
    </row>
    <row r="9" customFormat="false" ht="27.75" hidden="false" customHeight="true" outlineLevel="0" collapsed="false">
      <c r="A9" s="6" t="s">
        <v>1242</v>
      </c>
      <c r="B9" s="6" t="s">
        <v>1243</v>
      </c>
      <c r="C9" s="6" t="s">
        <v>1244</v>
      </c>
      <c r="D9" s="6" t="s">
        <v>1237</v>
      </c>
      <c r="E9" s="6" t="s">
        <v>1245</v>
      </c>
    </row>
    <row r="10" customFormat="false" ht="27.75" hidden="false" customHeight="true" outlineLevel="0" collapsed="false">
      <c r="A10" s="6" t="s">
        <v>1246</v>
      </c>
      <c r="B10" s="6" t="s">
        <v>1243</v>
      </c>
      <c r="C10" s="6" t="s">
        <v>1247</v>
      </c>
      <c r="D10" s="6" t="s">
        <v>1237</v>
      </c>
      <c r="E10" s="6" t="s">
        <v>1248</v>
      </c>
    </row>
    <row r="11" customFormat="false" ht="27.75" hidden="false" customHeight="true" outlineLevel="0" collapsed="false">
      <c r="A11" s="6" t="s">
        <v>1249</v>
      </c>
      <c r="B11" s="6" t="s">
        <v>1250</v>
      </c>
      <c r="C11" s="6" t="s">
        <v>161</v>
      </c>
      <c r="D11" s="6" t="s">
        <v>1229</v>
      </c>
      <c r="E11" s="6" t="s">
        <v>1251</v>
      </c>
    </row>
    <row r="12" customFormat="false" ht="27.75" hidden="false" customHeight="true" outlineLevel="0" collapsed="false">
      <c r="A12" s="6" t="s">
        <v>1252</v>
      </c>
      <c r="B12" s="6" t="s">
        <v>1253</v>
      </c>
      <c r="C12" s="6" t="s">
        <v>1236</v>
      </c>
      <c r="D12" s="6" t="s">
        <v>1254</v>
      </c>
      <c r="E12" s="6" t="s">
        <v>1255</v>
      </c>
    </row>
    <row r="13" customFormat="false" ht="27.75" hidden="false" customHeight="true" outlineLevel="0" collapsed="false">
      <c r="A13" s="6" t="s">
        <v>1256</v>
      </c>
      <c r="B13" s="6" t="s">
        <v>1257</v>
      </c>
      <c r="C13" s="6" t="s">
        <v>1258</v>
      </c>
      <c r="D13" s="6" t="s">
        <v>1237</v>
      </c>
      <c r="E13" s="6" t="s">
        <v>1259</v>
      </c>
    </row>
    <row r="14" customFormat="false" ht="27.75" hidden="false" customHeight="true" outlineLevel="0" collapsed="false">
      <c r="A14" s="6" t="s">
        <v>1260</v>
      </c>
      <c r="B14" s="6" t="s">
        <v>1261</v>
      </c>
      <c r="C14" s="6" t="s">
        <v>1236</v>
      </c>
      <c r="D14" s="6" t="s">
        <v>1237</v>
      </c>
      <c r="E14" s="6" t="s">
        <v>1262</v>
      </c>
    </row>
    <row r="15" customFormat="false" ht="27.75" hidden="false" customHeight="true" outlineLevel="0" collapsed="false">
      <c r="A15" s="6" t="s">
        <v>1263</v>
      </c>
      <c r="B15" s="6" t="s">
        <v>1264</v>
      </c>
      <c r="C15" s="6" t="s">
        <v>1265</v>
      </c>
      <c r="D15" s="6" t="s">
        <v>1237</v>
      </c>
      <c r="E15" s="6" t="s">
        <v>1266</v>
      </c>
    </row>
    <row r="16" customFormat="false" ht="27.75" hidden="false" customHeight="true" outlineLevel="0" collapsed="false">
      <c r="A16" s="6" t="s">
        <v>1267</v>
      </c>
      <c r="B16" s="6" t="s">
        <v>1268</v>
      </c>
      <c r="C16" s="6" t="s">
        <v>1269</v>
      </c>
      <c r="D16" s="6" t="s">
        <v>1237</v>
      </c>
      <c r="E16" s="6" t="s">
        <v>1270</v>
      </c>
    </row>
    <row r="17" customFormat="false" ht="27.75" hidden="false" customHeight="true" outlineLevel="0" collapsed="false">
      <c r="A17" s="6" t="s">
        <v>1271</v>
      </c>
      <c r="B17" s="6" t="s">
        <v>1272</v>
      </c>
      <c r="C17" s="6" t="s">
        <v>1273</v>
      </c>
      <c r="D17" s="6" t="s">
        <v>1237</v>
      </c>
      <c r="E17" s="6" t="s">
        <v>1274</v>
      </c>
    </row>
    <row r="18" customFormat="false" ht="27.75" hidden="false" customHeight="true" outlineLevel="0" collapsed="false">
      <c r="A18" s="6" t="s">
        <v>1275</v>
      </c>
      <c r="B18" s="6" t="s">
        <v>1276</v>
      </c>
      <c r="C18" s="6" t="s">
        <v>1277</v>
      </c>
      <c r="D18" s="6" t="s">
        <v>1237</v>
      </c>
      <c r="E18" s="6" t="s">
        <v>1278</v>
      </c>
    </row>
    <row r="19" customFormat="false" ht="27.75" hidden="false" customHeight="true" outlineLevel="0" collapsed="false">
      <c r="A19" s="6" t="s">
        <v>1279</v>
      </c>
      <c r="B19" s="6" t="s">
        <v>1280</v>
      </c>
      <c r="C19" s="6" t="s">
        <v>1281</v>
      </c>
      <c r="D19" s="6" t="s">
        <v>1237</v>
      </c>
      <c r="E19" s="6" t="s">
        <v>1282</v>
      </c>
    </row>
    <row r="20" customFormat="false" ht="27.75" hidden="false" customHeight="true" outlineLevel="0" collapsed="false">
      <c r="A20" s="6" t="s">
        <v>1283</v>
      </c>
      <c r="B20" s="6" t="s">
        <v>1284</v>
      </c>
      <c r="C20" s="6" t="s">
        <v>1285</v>
      </c>
      <c r="D20" s="6" t="s">
        <v>1237</v>
      </c>
      <c r="E20" s="6" t="s">
        <v>1286</v>
      </c>
    </row>
    <row r="21" customFormat="false" ht="27.75" hidden="false" customHeight="true" outlineLevel="0" collapsed="false">
      <c r="A21" s="6" t="s">
        <v>1287</v>
      </c>
      <c r="B21" s="6" t="s">
        <v>1288</v>
      </c>
      <c r="C21" s="6" t="s">
        <v>1289</v>
      </c>
      <c r="D21" s="6" t="s">
        <v>1237</v>
      </c>
      <c r="E21" s="6" t="s">
        <v>1290</v>
      </c>
    </row>
    <row r="22" customFormat="false" ht="27.75" hidden="false" customHeight="true" outlineLevel="0" collapsed="false">
      <c r="A22" s="6" t="s">
        <v>1291</v>
      </c>
      <c r="B22" s="6" t="s">
        <v>1292</v>
      </c>
      <c r="C22" s="6" t="s">
        <v>1289</v>
      </c>
      <c r="D22" s="6" t="s">
        <v>1237</v>
      </c>
      <c r="E22" s="6" t="s">
        <v>1293</v>
      </c>
    </row>
    <row r="23" customFormat="false" ht="27.75" hidden="false" customHeight="true" outlineLevel="0" collapsed="false">
      <c r="A23" s="6" t="s">
        <v>1294</v>
      </c>
      <c r="B23" s="6" t="s">
        <v>1235</v>
      </c>
      <c r="C23" s="6" t="s">
        <v>1295</v>
      </c>
      <c r="D23" s="6" t="s">
        <v>1237</v>
      </c>
      <c r="E23" s="6" t="s">
        <v>1234</v>
      </c>
    </row>
    <row r="24" customFormat="false" ht="27.75" hidden="false" customHeight="true" outlineLevel="0" collapsed="false">
      <c r="A24" s="6" t="s">
        <v>1296</v>
      </c>
      <c r="B24" s="6" t="s">
        <v>1235</v>
      </c>
      <c r="C24" s="6" t="s">
        <v>657</v>
      </c>
      <c r="D24" s="6" t="s">
        <v>1237</v>
      </c>
      <c r="E24" s="6" t="s">
        <v>1234</v>
      </c>
    </row>
    <row r="25" customFormat="false" ht="27.75" hidden="false" customHeight="true" outlineLevel="0" collapsed="false">
      <c r="A25" s="6" t="s">
        <v>1297</v>
      </c>
      <c r="B25" s="6" t="s">
        <v>1235</v>
      </c>
      <c r="C25" s="6" t="s">
        <v>1298</v>
      </c>
      <c r="D25" s="6" t="s">
        <v>1237</v>
      </c>
      <c r="E25" s="6" t="s">
        <v>1234</v>
      </c>
    </row>
    <row r="26" customFormat="false" ht="27.75" hidden="false" customHeight="true" outlineLevel="0" collapsed="false">
      <c r="A26" s="6" t="s">
        <v>1299</v>
      </c>
      <c r="B26" s="6" t="s">
        <v>1235</v>
      </c>
      <c r="C26" s="6" t="s">
        <v>1300</v>
      </c>
      <c r="D26" s="6" t="s">
        <v>1237</v>
      </c>
      <c r="E26" s="6" t="s">
        <v>1234</v>
      </c>
    </row>
    <row r="27" customFormat="false" ht="27.75" hidden="false" customHeight="true" outlineLevel="0" collapsed="false">
      <c r="A27" s="6" t="s">
        <v>1301</v>
      </c>
      <c r="B27" s="6" t="s">
        <v>1235</v>
      </c>
      <c r="C27" s="6" t="s">
        <v>1302</v>
      </c>
      <c r="D27" s="6" t="s">
        <v>1237</v>
      </c>
      <c r="E27" s="6" t="s">
        <v>1234</v>
      </c>
    </row>
    <row r="28" customFormat="false" ht="27.75" hidden="false" customHeight="true" outlineLevel="0" collapsed="false">
      <c r="A28" s="6" t="s">
        <v>1303</v>
      </c>
      <c r="B28" s="6" t="s">
        <v>1235</v>
      </c>
      <c r="C28" s="6" t="s">
        <v>1304</v>
      </c>
      <c r="D28" s="6" t="s">
        <v>1237</v>
      </c>
      <c r="E28" s="6" t="s">
        <v>1234</v>
      </c>
    </row>
    <row r="29" customFormat="false" ht="27.75" hidden="false" customHeight="true" outlineLevel="0" collapsed="false">
      <c r="A29" s="6" t="s">
        <v>1305</v>
      </c>
      <c r="B29" s="6" t="s">
        <v>1235</v>
      </c>
      <c r="C29" s="6" t="s">
        <v>1306</v>
      </c>
      <c r="D29" s="6" t="s">
        <v>1237</v>
      </c>
      <c r="E29" s="6" t="s">
        <v>1234</v>
      </c>
    </row>
    <row r="30" customFormat="false" ht="27.75" hidden="false" customHeight="true" outlineLevel="0" collapsed="false">
      <c r="A30" s="6" t="s">
        <v>1307</v>
      </c>
      <c r="B30" s="6" t="s">
        <v>1235</v>
      </c>
      <c r="C30" s="6" t="s">
        <v>1308</v>
      </c>
      <c r="D30" s="6" t="s">
        <v>1237</v>
      </c>
      <c r="E30" s="6" t="s">
        <v>1234</v>
      </c>
    </row>
    <row r="31" customFormat="false" ht="27.75" hidden="false" customHeight="true" outlineLevel="0" collapsed="false">
      <c r="A31" s="6" t="s">
        <v>1309</v>
      </c>
      <c r="B31" s="6" t="s">
        <v>1235</v>
      </c>
      <c r="C31" s="6" t="s">
        <v>632</v>
      </c>
      <c r="D31" s="6" t="s">
        <v>1237</v>
      </c>
      <c r="E31" s="6" t="s">
        <v>1234</v>
      </c>
    </row>
    <row r="32" customFormat="false" ht="27.75" hidden="false" customHeight="true" outlineLevel="0" collapsed="false">
      <c r="A32" s="6" t="s">
        <v>1310</v>
      </c>
      <c r="B32" s="6" t="s">
        <v>1235</v>
      </c>
      <c r="C32" s="6" t="s">
        <v>1311</v>
      </c>
      <c r="D32" s="6" t="s">
        <v>1237</v>
      </c>
      <c r="E32" s="6" t="s">
        <v>1234</v>
      </c>
    </row>
    <row r="33" customFormat="false" ht="27.75" hidden="false" customHeight="true" outlineLevel="0" collapsed="false">
      <c r="A33" s="6" t="s">
        <v>1312</v>
      </c>
      <c r="B33" s="6" t="s">
        <v>1313</v>
      </c>
      <c r="C33" s="6" t="s">
        <v>1314</v>
      </c>
      <c r="D33" s="6" t="s">
        <v>1237</v>
      </c>
      <c r="E33" s="6" t="s">
        <v>1315</v>
      </c>
    </row>
    <row r="34" customFormat="false" ht="27.75" hidden="false" customHeight="true" outlineLevel="0" collapsed="false">
      <c r="A34" s="6" t="s">
        <v>1316</v>
      </c>
      <c r="B34" s="6" t="s">
        <v>1313</v>
      </c>
      <c r="C34" s="6" t="s">
        <v>1317</v>
      </c>
      <c r="D34" s="6" t="s">
        <v>1237</v>
      </c>
      <c r="E34" s="6" t="s">
        <v>1315</v>
      </c>
    </row>
    <row r="35" customFormat="false" ht="27.75" hidden="false" customHeight="true" outlineLevel="0" collapsed="false">
      <c r="A35" s="6" t="s">
        <v>1318</v>
      </c>
      <c r="B35" s="6" t="s">
        <v>1319</v>
      </c>
      <c r="C35" s="6" t="s">
        <v>1320</v>
      </c>
      <c r="D35" s="6" t="s">
        <v>1237</v>
      </c>
      <c r="E35" s="6" t="s">
        <v>1321</v>
      </c>
    </row>
    <row r="36" customFormat="false" ht="27.75" hidden="false" customHeight="true" outlineLevel="0" collapsed="false">
      <c r="A36" s="6" t="s">
        <v>1322</v>
      </c>
      <c r="B36" s="6" t="s">
        <v>1323</v>
      </c>
      <c r="C36" s="6" t="s">
        <v>1324</v>
      </c>
      <c r="D36" s="6" t="s">
        <v>1237</v>
      </c>
      <c r="E36" s="6" t="s">
        <v>1325</v>
      </c>
    </row>
    <row r="37" customFormat="false" ht="27.75" hidden="false" customHeight="true" outlineLevel="0" collapsed="false">
      <c r="A37" s="21" t="s">
        <v>1326</v>
      </c>
      <c r="B37" s="21" t="s">
        <v>1327</v>
      </c>
      <c r="C37" s="21" t="s">
        <v>1328</v>
      </c>
      <c r="D37" s="21" t="s">
        <v>1329</v>
      </c>
      <c r="E37" s="21" t="s">
        <v>1330</v>
      </c>
    </row>
    <row r="38" customFormat="false" ht="27.75" hidden="false" customHeight="true" outlineLevel="0" collapsed="false">
      <c r="A38" s="21" t="s">
        <v>1331</v>
      </c>
      <c r="B38" s="21" t="s">
        <v>1332</v>
      </c>
      <c r="C38" s="21" t="s">
        <v>1333</v>
      </c>
      <c r="D38" s="21" t="s">
        <v>1329</v>
      </c>
      <c r="E38" s="21" t="s">
        <v>1334</v>
      </c>
    </row>
    <row r="39" customFormat="false" ht="27.75" hidden="false" customHeight="true" outlineLevel="0" collapsed="false">
      <c r="A39" s="21" t="s">
        <v>1335</v>
      </c>
      <c r="B39" s="21" t="s">
        <v>1336</v>
      </c>
      <c r="C39" s="21" t="s">
        <v>1337</v>
      </c>
      <c r="D39" s="21" t="s">
        <v>1338</v>
      </c>
      <c r="E39" s="21" t="s">
        <v>1339</v>
      </c>
    </row>
    <row r="40" customFormat="false" ht="27.75" hidden="false" customHeight="true" outlineLevel="0" collapsed="false">
      <c r="A40" s="21" t="s">
        <v>1340</v>
      </c>
      <c r="B40" s="21" t="s">
        <v>1336</v>
      </c>
      <c r="C40" s="21" t="s">
        <v>1337</v>
      </c>
      <c r="D40" s="21" t="s">
        <v>1338</v>
      </c>
      <c r="E40" s="21" t="s">
        <v>1341</v>
      </c>
    </row>
    <row r="42" customFormat="false" ht="15" hidden="false" customHeight="true" outlineLevel="0" collapsed="false">
      <c r="A42" s="2" t="s">
        <v>1342</v>
      </c>
      <c r="B42" s="2"/>
      <c r="C42" s="2"/>
      <c r="D42" s="2"/>
      <c r="E42" s="2"/>
    </row>
    <row r="43" customFormat="false" ht="15" hidden="false" customHeight="false" outlineLevel="0" collapsed="false">
      <c r="A43" s="2"/>
      <c r="B43" s="2"/>
      <c r="C43" s="2"/>
      <c r="D43" s="2"/>
      <c r="E43" s="2"/>
    </row>
  </sheetData>
  <mergeCells count="2">
    <mergeCell ref="A2:E2"/>
    <mergeCell ref="A42:E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2"/>
    <col collapsed="false" customWidth="true" hidden="false" outlineLevel="0" max="3" min="3" style="0" width="20"/>
    <col collapsed="false" customWidth="true" hidden="false" outlineLevel="0" max="4" min="4" style="0" width="44"/>
    <col collapsed="false" customWidth="true" hidden="false" outlineLevel="0" max="5" min="5" style="0" width="34"/>
  </cols>
  <sheetData>
    <row r="1" customFormat="false" ht="17.35" hidden="false" customHeight="false" outlineLevel="0" collapsed="false">
      <c r="A1" s="1" t="s">
        <v>1343</v>
      </c>
    </row>
    <row r="2" customFormat="false" ht="15" hidden="false" customHeight="false" outlineLevel="0" collapsed="false">
      <c r="A2" s="13" t="s">
        <v>1344</v>
      </c>
    </row>
    <row r="4" customFormat="false" ht="43.5" hidden="false" customHeight="true" outlineLevel="0" collapsed="false">
      <c r="A4" s="3" t="s">
        <v>1345</v>
      </c>
      <c r="B4" s="3" t="s">
        <v>1346</v>
      </c>
      <c r="C4" s="3" t="s">
        <v>1347</v>
      </c>
      <c r="D4" s="3" t="s">
        <v>1348</v>
      </c>
      <c r="E4" s="3" t="s">
        <v>1349</v>
      </c>
    </row>
    <row r="5" customFormat="false" ht="43.5" hidden="false" customHeight="true" outlineLevel="0" collapsed="false">
      <c r="A5" s="20" t="s">
        <v>1350</v>
      </c>
      <c r="B5" s="20" t="s">
        <v>1351</v>
      </c>
      <c r="C5" s="20" t="s">
        <v>1352</v>
      </c>
      <c r="D5" s="20" t="s">
        <v>1353</v>
      </c>
      <c r="E5" s="20" t="s">
        <v>1354</v>
      </c>
    </row>
    <row r="6" customFormat="false" ht="43.5" hidden="false" customHeight="true" outlineLevel="0" collapsed="false">
      <c r="A6" s="6" t="s">
        <v>1350</v>
      </c>
      <c r="B6" s="6" t="s">
        <v>1355</v>
      </c>
      <c r="C6" s="6" t="s">
        <v>1356</v>
      </c>
      <c r="D6" s="6" t="s">
        <v>1357</v>
      </c>
      <c r="E6" s="6" t="s">
        <v>1358</v>
      </c>
    </row>
    <row r="7" customFormat="false" ht="43.5" hidden="false" customHeight="true" outlineLevel="0" collapsed="false">
      <c r="A7" s="20" t="s">
        <v>1040</v>
      </c>
      <c r="B7" s="20" t="s">
        <v>1359</v>
      </c>
      <c r="C7" s="20" t="s">
        <v>1360</v>
      </c>
      <c r="D7" s="20" t="s">
        <v>1361</v>
      </c>
      <c r="E7" s="20" t="s">
        <v>1362</v>
      </c>
    </row>
    <row r="8" customFormat="false" ht="43.5" hidden="false" customHeight="true" outlineLevel="0" collapsed="false">
      <c r="A8" s="6" t="s">
        <v>1040</v>
      </c>
      <c r="B8" s="6" t="s">
        <v>1363</v>
      </c>
      <c r="C8" s="6" t="s">
        <v>1364</v>
      </c>
      <c r="D8" s="6" t="s">
        <v>1365</v>
      </c>
      <c r="E8" s="6" t="s">
        <v>1366</v>
      </c>
    </row>
    <row r="9" customFormat="false" ht="43.5" hidden="false" customHeight="true" outlineLevel="0" collapsed="false">
      <c r="A9" s="6" t="s">
        <v>1367</v>
      </c>
      <c r="B9" s="6" t="s">
        <v>1368</v>
      </c>
      <c r="C9" s="6" t="s">
        <v>1356</v>
      </c>
      <c r="D9" s="6" t="s">
        <v>1369</v>
      </c>
      <c r="E9" s="6" t="s">
        <v>1370</v>
      </c>
    </row>
    <row r="10" customFormat="false" ht="43.5" hidden="false" customHeight="true" outlineLevel="0" collapsed="false">
      <c r="A10" s="6" t="s">
        <v>1371</v>
      </c>
      <c r="B10" s="6" t="s">
        <v>1372</v>
      </c>
      <c r="C10" s="6" t="s">
        <v>1373</v>
      </c>
      <c r="D10" s="6" t="s">
        <v>1374</v>
      </c>
      <c r="E10" s="6" t="s">
        <v>1375</v>
      </c>
    </row>
    <row r="11" customFormat="false" ht="43.5" hidden="false" customHeight="true" outlineLevel="0" collapsed="false">
      <c r="A11" s="6" t="s">
        <v>1035</v>
      </c>
      <c r="B11" s="6" t="s">
        <v>1376</v>
      </c>
      <c r="C11" s="6" t="s">
        <v>1360</v>
      </c>
      <c r="D11" s="6" t="s">
        <v>1377</v>
      </c>
      <c r="E11" s="6" t="s">
        <v>1378</v>
      </c>
    </row>
    <row r="12" customFormat="false" ht="43.5" hidden="false" customHeight="true" outlineLevel="0" collapsed="false">
      <c r="A12" s="6" t="s">
        <v>1030</v>
      </c>
      <c r="B12" s="6" t="s">
        <v>1379</v>
      </c>
      <c r="C12" s="6" t="s">
        <v>1364</v>
      </c>
      <c r="D12" s="6" t="s">
        <v>1380</v>
      </c>
      <c r="E12" s="6" t="s">
        <v>1381</v>
      </c>
    </row>
    <row r="13" customFormat="false" ht="43.5" hidden="false" customHeight="true" outlineLevel="0" collapsed="false">
      <c r="A13" s="6" t="s">
        <v>1382</v>
      </c>
      <c r="B13" s="6" t="s">
        <v>1383</v>
      </c>
      <c r="C13" s="6" t="s">
        <v>1384</v>
      </c>
      <c r="D13" s="6" t="s">
        <v>1385</v>
      </c>
      <c r="E13" s="6" t="s">
        <v>1386</v>
      </c>
    </row>
    <row r="14" customFormat="false" ht="43.5" hidden="false" customHeight="true" outlineLevel="0" collapsed="false">
      <c r="A14" s="6" t="s">
        <v>1387</v>
      </c>
      <c r="B14" s="6" t="s">
        <v>1388</v>
      </c>
      <c r="C14" s="6" t="s">
        <v>1356</v>
      </c>
      <c r="D14" s="6" t="s">
        <v>1389</v>
      </c>
      <c r="E14" s="6" t="s">
        <v>1390</v>
      </c>
    </row>
    <row r="15" customFormat="false" ht="43.5" hidden="false" customHeight="true" outlineLevel="0" collapsed="false">
      <c r="A15" s="6" t="s">
        <v>1391</v>
      </c>
      <c r="B15" s="6" t="s">
        <v>1392</v>
      </c>
      <c r="C15" s="6" t="s">
        <v>1364</v>
      </c>
      <c r="D15" s="6" t="s">
        <v>1393</v>
      </c>
      <c r="E15" s="6" t="s">
        <v>1394</v>
      </c>
    </row>
    <row r="16" customFormat="false" ht="43.5" hidden="false" customHeight="true" outlineLevel="0" collapsed="false">
      <c r="A16" s="20" t="s">
        <v>1395</v>
      </c>
      <c r="B16" s="20" t="s">
        <v>1396</v>
      </c>
      <c r="C16" s="20" t="s">
        <v>1352</v>
      </c>
      <c r="D16" s="20" t="s">
        <v>1397</v>
      </c>
      <c r="E16" s="20" t="s">
        <v>1398</v>
      </c>
    </row>
    <row r="17" customFormat="false" ht="43.5" hidden="false" customHeight="true" outlineLevel="0" collapsed="false">
      <c r="A17" s="6" t="s">
        <v>1399</v>
      </c>
      <c r="B17" s="6" t="s">
        <v>1400</v>
      </c>
      <c r="C17" s="6" t="s">
        <v>1364</v>
      </c>
      <c r="D17" s="6" t="s">
        <v>1401</v>
      </c>
      <c r="E17" s="6" t="s">
        <v>1402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4"/>
  </cols>
  <sheetData>
    <row r="1" customFormat="false" ht="17.35" hidden="false" customHeight="false" outlineLevel="0" collapsed="false">
      <c r="A1" s="1" t="s">
        <v>1403</v>
      </c>
    </row>
    <row r="3" customFormat="false" ht="57.75" hidden="false" customHeight="true" outlineLevel="0" collapsed="false">
      <c r="A3" s="3" t="s">
        <v>1404</v>
      </c>
      <c r="B3" s="3" t="s">
        <v>1405</v>
      </c>
    </row>
    <row r="4" customFormat="false" ht="57.75" hidden="false" customHeight="true" outlineLevel="0" collapsed="false">
      <c r="A4" s="6" t="s">
        <v>1406</v>
      </c>
      <c r="B4" s="6" t="s">
        <v>1407</v>
      </c>
    </row>
    <row r="5" customFormat="false" ht="57.75" hidden="false" customHeight="true" outlineLevel="0" collapsed="false">
      <c r="A5" s="6" t="s">
        <v>1408</v>
      </c>
      <c r="B5" s="6" t="s">
        <v>1409</v>
      </c>
    </row>
    <row r="6" customFormat="false" ht="57.75" hidden="false" customHeight="true" outlineLevel="0" collapsed="false">
      <c r="A6" s="6" t="s">
        <v>1410</v>
      </c>
      <c r="B6" s="6" t="s">
        <v>1411</v>
      </c>
    </row>
    <row r="7" customFormat="false" ht="57.75" hidden="false" customHeight="true" outlineLevel="0" collapsed="false">
      <c r="A7" s="6" t="s">
        <v>1412</v>
      </c>
      <c r="B7" s="6" t="s">
        <v>1413</v>
      </c>
    </row>
    <row r="8" customFormat="false" ht="57.75" hidden="false" customHeight="true" outlineLevel="0" collapsed="false">
      <c r="A8" s="6" t="s">
        <v>1414</v>
      </c>
      <c r="B8" s="6" t="s">
        <v>1415</v>
      </c>
    </row>
    <row r="9" customFormat="false" ht="57.75" hidden="false" customHeight="true" outlineLevel="0" collapsed="false">
      <c r="A9" s="6" t="s">
        <v>1416</v>
      </c>
      <c r="B9" s="6" t="s">
        <v>1417</v>
      </c>
    </row>
    <row r="10" customFormat="false" ht="57.75" hidden="false" customHeight="true" outlineLevel="0" collapsed="false">
      <c r="A10" s="6" t="s">
        <v>1418</v>
      </c>
      <c r="B10" s="6" t="s">
        <v>1419</v>
      </c>
    </row>
    <row r="11" customFormat="false" ht="57.75" hidden="false" customHeight="true" outlineLevel="0" collapsed="false">
      <c r="A11" s="6" t="s">
        <v>1420</v>
      </c>
      <c r="B11" s="6" t="s">
        <v>1421</v>
      </c>
    </row>
    <row r="12" customFormat="false" ht="57.75" hidden="false" customHeight="true" outlineLevel="0" collapsed="false">
      <c r="A12" s="6" t="s">
        <v>1422</v>
      </c>
      <c r="B12" s="6" t="s">
        <v>1423</v>
      </c>
    </row>
    <row r="13" customFormat="false" ht="57.75" hidden="false" customHeight="true" outlineLevel="0" collapsed="false">
      <c r="A13" s="6" t="s">
        <v>1424</v>
      </c>
      <c r="B13" s="6" t="s">
        <v>1425</v>
      </c>
    </row>
    <row r="14" customFormat="false" ht="57.75" hidden="false" customHeight="true" outlineLevel="0" collapsed="false">
      <c r="A14" s="6" t="s">
        <v>1426</v>
      </c>
      <c r="B14" s="6" t="s">
        <v>1427</v>
      </c>
    </row>
    <row r="15" customFormat="false" ht="57.75" hidden="false" customHeight="true" outlineLevel="0" collapsed="false">
      <c r="A15" s="6" t="s">
        <v>1428</v>
      </c>
      <c r="B15" s="6" t="s">
        <v>1429</v>
      </c>
    </row>
    <row r="16" customFormat="false" ht="57.75" hidden="false" customHeight="true" outlineLevel="0" collapsed="false">
      <c r="A16" s="6" t="s">
        <v>1430</v>
      </c>
      <c r="B16" s="6" t="s">
        <v>1431</v>
      </c>
    </row>
    <row r="17" customFormat="false" ht="57.75" hidden="false" customHeight="true" outlineLevel="0" collapsed="false">
      <c r="A17" s="6" t="s">
        <v>1432</v>
      </c>
      <c r="B17" s="6" t="s">
        <v>1433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2026-08-13T16:34:33Z</dcterms:created>
  <dc:creator>openpyxl</dc:creator>
  <dc:description/>
  <dc:language>en-US</dc:language>
  <cp:lastModifiedBy/>
  <dcterms:modified xsi:type="dcterms:W3CDTF">2026-08-13T16:35:44Z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